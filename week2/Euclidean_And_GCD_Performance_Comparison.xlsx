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35BEEEB-F3E2-475E-98C8-910CCF10744D}" xr6:coauthVersionLast="47" xr6:coauthVersionMax="47" xr10:uidLastSave="{00000000-0000-0000-0000-000000000000}"/>
  <bookViews>
    <workbookView xWindow="-110" yWindow="-110" windowWidth="19420" windowHeight="11500" tabRatio="848" activeTab="1" xr2:uid="{00000000-000D-0000-FFFF-FFFF00000000}"/>
  </bookViews>
  <sheets>
    <sheet name="Times Comparison" sheetId="3" r:id="rId1"/>
    <sheet name="Step Comparison" sheetId="6" r:id="rId2"/>
    <sheet name="Euclidean times" sheetId="1" r:id="rId3"/>
    <sheet name="Euclidean Steps" sheetId="4" r:id="rId4"/>
    <sheet name="Binary GCD times" sheetId="2" r:id="rId5"/>
    <sheet name="Binary GCD Step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7" i="5" l="1"/>
  <c r="C41" i="6" s="1"/>
  <c r="B56" i="5"/>
  <c r="C26" i="6" s="1"/>
  <c r="B55" i="5"/>
  <c r="C11" i="6" s="1"/>
  <c r="B37" i="5"/>
  <c r="C40" i="6" s="1"/>
  <c r="B36" i="5"/>
  <c r="C25" i="6" s="1"/>
  <c r="B35" i="5"/>
  <c r="C10" i="6" s="1"/>
  <c r="B17" i="5"/>
  <c r="C39" i="6" s="1"/>
  <c r="B16" i="5"/>
  <c r="C24" i="6" s="1"/>
  <c r="B15" i="5"/>
  <c r="C9" i="6" s="1"/>
  <c r="B57" i="4"/>
  <c r="B41" i="6" s="1"/>
  <c r="B56" i="4"/>
  <c r="B26" i="6" s="1"/>
  <c r="B55" i="4"/>
  <c r="B11" i="6" s="1"/>
  <c r="B37" i="4"/>
  <c r="B40" i="6" s="1"/>
  <c r="B36" i="4"/>
  <c r="B25" i="6" s="1"/>
  <c r="B35" i="4"/>
  <c r="B10" i="6" s="1"/>
  <c r="B17" i="4"/>
  <c r="B39" i="6" s="1"/>
  <c r="B16" i="4"/>
  <c r="B24" i="6" s="1"/>
  <c r="B15" i="4"/>
  <c r="B9" i="6" s="1"/>
  <c r="B57" i="2"/>
  <c r="C41" i="3" s="1"/>
  <c r="B56" i="2"/>
  <c r="C26" i="3" s="1"/>
  <c r="B55" i="2"/>
  <c r="C11" i="3" s="1"/>
  <c r="B37" i="2"/>
  <c r="C40" i="3" s="1"/>
  <c r="B36" i="2"/>
  <c r="C25" i="3" s="1"/>
  <c r="B35" i="2"/>
  <c r="C10" i="3" s="1"/>
  <c r="B17" i="2"/>
  <c r="C39" i="3" s="1"/>
  <c r="B16" i="2"/>
  <c r="C24" i="3" s="1"/>
  <c r="B15" i="2"/>
  <c r="C9" i="3" s="1"/>
  <c r="B57" i="1"/>
  <c r="B56" i="1"/>
  <c r="B26" i="3" s="1"/>
  <c r="B55" i="1"/>
  <c r="B11" i="3" s="1"/>
  <c r="B37" i="1"/>
  <c r="B40" i="3" s="1"/>
  <c r="B36" i="1"/>
  <c r="B25" i="3" s="1"/>
  <c r="B35" i="1"/>
  <c r="B10" i="3" s="1"/>
  <c r="B17" i="1"/>
  <c r="B39" i="3" s="1"/>
  <c r="B16" i="1"/>
  <c r="B24" i="3" s="1"/>
  <c r="B15" i="1"/>
  <c r="B9" i="3" s="1"/>
  <c r="B41" i="3"/>
</calcChain>
</file>

<file path=xl/sharedStrings.xml><?xml version="1.0" encoding="utf-8"?>
<sst xmlns="http://schemas.openxmlformats.org/spreadsheetml/2006/main" count="244" uniqueCount="87">
  <si>
    <t>EUCLIDEAN AND BINARY GCD PERFORMANCE</t>
  </si>
  <si>
    <t>Time in seconds. Lower values indicate faster execution.</t>
  </si>
  <si>
    <t>Different input pairs are used for each algorithm. Results are compared by group.</t>
  </si>
  <si>
    <t>Average time (seconds)</t>
  </si>
  <si>
    <t>Data group</t>
  </si>
  <si>
    <t>Euclidean</t>
  </si>
  <si>
    <t>Binary GCD</t>
  </si>
  <si>
    <t>Random pairs</t>
  </si>
  <si>
    <t>Coprime pairs</t>
  </si>
  <si>
    <t>Power of two times a common factor</t>
  </si>
  <si>
    <t>Max time (seconds)</t>
  </si>
  <si>
    <t>Min time (seconds)</t>
  </si>
  <si>
    <t>EUCLIDEAN</t>
  </si>
  <si>
    <t>Pair (a, b)</t>
  </si>
  <si>
    <t>Time (seconds)</t>
  </si>
  <si>
    <t>(15784, 40279)</t>
  </si>
  <si>
    <t>(32453, 40116)</t>
  </si>
  <si>
    <t>(28974, 18973)</t>
  </si>
  <si>
    <t>(22699, 19360)</t>
  </si>
  <si>
    <t>(38613, 35119)</t>
  </si>
  <si>
    <t>(13734, 26466)</t>
  </si>
  <si>
    <t>(10166, 13646)</t>
  </si>
  <si>
    <t>(29505, 19944)</t>
  </si>
  <si>
    <t>(26209, 12763)</t>
  </si>
  <si>
    <t>(42537, 17596)</t>
  </si>
  <si>
    <t>Average time</t>
  </si>
  <si>
    <t>Max time</t>
  </si>
  <si>
    <t>Min time</t>
  </si>
  <si>
    <t>(14207, 28910)</t>
  </si>
  <si>
    <t>(28086, 40867)</t>
  </si>
  <si>
    <t>(39433, 28575)</t>
  </si>
  <si>
    <t>(18449, 40269)</t>
  </si>
  <si>
    <t>(16375, 25627)</t>
  </si>
  <si>
    <t>(31143, 38345)</t>
  </si>
  <si>
    <t>(38375, 23778)</t>
  </si>
  <si>
    <t>(26635, 26358)</t>
  </si>
  <si>
    <t>(23597, 18110)</t>
  </si>
  <si>
    <t>(36754, 28591)</t>
  </si>
  <si>
    <t>(61348, 30674)</t>
  </si>
  <si>
    <t>(17372, 69488)</t>
  </si>
  <si>
    <t>(19815, 19815)</t>
  </si>
  <si>
    <t>(10939, 10939)</t>
  </si>
  <si>
    <t>(10991, 43964)</t>
  </si>
  <si>
    <t>(11858, 23716)</t>
  </si>
  <si>
    <t>(10969, 21938)</t>
  </si>
  <si>
    <t>(17786, 17786)</t>
  </si>
  <si>
    <t>(11727, 23454)</t>
  </si>
  <si>
    <t>(18433, 36866)</t>
  </si>
  <si>
    <t>BINARY GCD</t>
  </si>
  <si>
    <t>(35873, 40676)</t>
  </si>
  <si>
    <t>(35003, 21126)</t>
  </si>
  <si>
    <t>(22050, 33672)</t>
  </si>
  <si>
    <t>(33051, 11200)</t>
  </si>
  <si>
    <t>(25505, 28348)</t>
  </si>
  <si>
    <t>(26275, 24312)</t>
  </si>
  <si>
    <t>(37578, 10772)</t>
  </si>
  <si>
    <t>(28779, 19318)</t>
  </si>
  <si>
    <t>(30738, 41273)</t>
  </si>
  <si>
    <t>(41026, 23900)</t>
  </si>
  <si>
    <t>(40946, 34267)</t>
  </si>
  <si>
    <t>(31351, 24523)</t>
  </si>
  <si>
    <t>(33733, 33702)</t>
  </si>
  <si>
    <t>(18825, 19579)</t>
  </si>
  <si>
    <t>(38471, 36775)</t>
  </si>
  <si>
    <t>(29482, 40423)</t>
  </si>
  <si>
    <t>(26680, 17143)</t>
  </si>
  <si>
    <t>(35417, 16262)</t>
  </si>
  <si>
    <t>(34676, 40187)</t>
  </si>
  <si>
    <t>(11588, 16841)</t>
  </si>
  <si>
    <t>(22184, 22184)</t>
  </si>
  <si>
    <t>(38152, 38152)</t>
  </si>
  <si>
    <t>(69756, 69756)</t>
  </si>
  <si>
    <t>(36226, 36226)</t>
  </si>
  <si>
    <t>(16837, 16837)</t>
  </si>
  <si>
    <t>(21166, 42332)</t>
  </si>
  <si>
    <t>(16058, 16058)</t>
  </si>
  <si>
    <t>(36314, 18157)</t>
  </si>
  <si>
    <t>(50580, 12645)</t>
  </si>
  <si>
    <t>(32120, 64240)</t>
  </si>
  <si>
    <t>EUCLIDEAN STEPS</t>
  </si>
  <si>
    <t>Steps</t>
  </si>
  <si>
    <t>Average steps</t>
  </si>
  <si>
    <t>Max steps</t>
  </si>
  <si>
    <t>Min steps</t>
  </si>
  <si>
    <t>BINARY GCD STEPS</t>
  </si>
  <si>
    <t>EUCLIDEAN AND BINARY GCD STEP COMPARISON</t>
  </si>
  <si>
    <t>Number of steps per GCD calculation. Lower values indicate fewer steps.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</si>
</sst>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6">
    <font>
      <sz val="11"/>
      <name val="Carlito"/>
    </font>
    <font>
      <sz val="11"/>
      <color rgb="FF000000"/>
      <name val="Arial"/>
    </font>
    <font>
      <b/>
      <sz val="11"/>
      <color rgb="FF000000"/>
      <name val="Arial"/>
    </font>
    <font>
      <b/>
      <sz val="11"/>
      <name val="Carlito"/>
    </font>
    <font>
      <sz val="11"/>
      <name val="Arial"/>
    </font>
    <font>
      <b/>
      <sz val="16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4" fillId="0" borderId="0" xfId="0" applyFont="1"/>
    <xf numFmtId="0" fontId="5" fillId="0" borderId="0" xfId="0" applyFont="1"/>
    <xf numFmtId="0" fontId="2" fillId="2" borderId="2" xfId="0" applyFont="1" applyFill="1" applyBorder="1"/>
    <xf numFmtId="0" fontId="4" fillId="0" borderId="2" xfId="0" applyFont="1" applyBorder="1"/>
    <xf numFmtId="164" fontId="4" fillId="0" borderId="2" xfId="0" applyNumberFormat="1" applyFont="1" applyBorder="1"/>
    <xf numFmtId="1" fontId="1" fillId="0" borderId="1" xfId="0" applyNumberFormat="1" applyFont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2" fontId="4" fillId="0" borderId="2" xfId="0" applyNumberFormat="1" applyFont="1" applyBorder="1"/>
    <xf numFmtId="1" fontId="4" fillId="0" borderId="2" xfId="0" applyNumberFormat="1" applyFont="1" applyBorder="1"/>
    <xf numFmtId="0" fontId="2" fillId="0" borderId="0" xfId="0" applyFont="1" applyAlignment="1">
      <alignment vertical="center"/>
    </xf>
    <xf numFmtId="0" fontId="3" fillId="0" borderId="0" xfId="0" applyFont="1"/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Average time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Euclidean</c:v>
          </c:tx>
          <c:spPr>
            <a:solidFill>
              <a:srgbClr val="4472C4"/>
            </a:solidFill>
          </c:spPr>
          <c:invertIfNegative val="0"/>
          <c:cat>
            <c:strRef>
              <c:f>'Times Comparison'!$A$9:$A$11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'Times Comparison'!$B$9:$B$11</c:f>
              <c:numCache>
                <c:formatCode>0.0000000000</c:formatCode>
                <c:ptCount val="3"/>
                <c:pt idx="0">
                  <c:v>2.0400000000000001E-8</c:v>
                </c:pt>
                <c:pt idx="1">
                  <c:v>2.0599999999999999E-8</c:v>
                </c:pt>
                <c:pt idx="2">
                  <c:v>2.5000000000000001E-9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7B-41ED-AB24-4342CA4BECF3}"/>
            </c:ext>
          </c:extLst>
        </c:ser>
        <c:ser>
          <c:idx val="1"/>
          <c:order val="1"/>
          <c:tx>
            <c:v>Binary GCD</c:v>
          </c:tx>
          <c:spPr>
            <a:solidFill>
              <a:srgbClr val="ED7D31"/>
            </a:solidFill>
          </c:spPr>
          <c:invertIfNegative val="0"/>
          <c:cat>
            <c:strRef>
              <c:f>'Times Comparison'!$A$9:$A$11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'Times Comparison'!$C$9:$C$11</c:f>
              <c:numCache>
                <c:formatCode>0.0000000000</c:formatCode>
                <c:ptCount val="3"/>
                <c:pt idx="0">
                  <c:v>4.6199999999999997E-8</c:v>
                </c:pt>
                <c:pt idx="1">
                  <c:v>4.6700000000000001E-8</c:v>
                </c:pt>
                <c:pt idx="2">
                  <c:v>2.2999999999999999E-9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7B-41ED-AB24-4342CA4BE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Max time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Euclidean</c:v>
          </c:tx>
          <c:spPr>
            <a:solidFill>
              <a:srgbClr val="4472C4"/>
            </a:solidFill>
          </c:spPr>
          <c:invertIfNegative val="0"/>
          <c:cat>
            <c:strRef>
              <c:f>'Times Comparison'!$A$24:$A$26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'Times Comparison'!$B$24:$B$26</c:f>
              <c:numCache>
                <c:formatCode>0.0000000000</c:formatCode>
                <c:ptCount val="3"/>
                <c:pt idx="0">
                  <c:v>3.1E-8</c:v>
                </c:pt>
                <c:pt idx="1">
                  <c:v>3.5000000000000002E-8</c:v>
                </c:pt>
                <c:pt idx="2">
                  <c:v>3E-9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2-4485-BC69-8B059826603D}"/>
            </c:ext>
          </c:extLst>
        </c:ser>
        <c:ser>
          <c:idx val="1"/>
          <c:order val="1"/>
          <c:tx>
            <c:v>Binary GCD</c:v>
          </c:tx>
          <c:spPr>
            <a:solidFill>
              <a:srgbClr val="ED7D31"/>
            </a:solidFill>
          </c:spPr>
          <c:invertIfNegative val="0"/>
          <c:cat>
            <c:strRef>
              <c:f>'Times Comparison'!$A$24:$A$26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'Times Comparison'!$C$24:$C$26</c:f>
              <c:numCache>
                <c:formatCode>0.0000000000</c:formatCode>
                <c:ptCount val="3"/>
                <c:pt idx="0">
                  <c:v>5.2999999999999998E-8</c:v>
                </c:pt>
                <c:pt idx="1">
                  <c:v>5.2999999999999998E-8</c:v>
                </c:pt>
                <c:pt idx="2">
                  <c:v>4.0000000000000002E-9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52-4485-BC69-8B0598266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Min time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Euclidean</c:v>
          </c:tx>
          <c:spPr>
            <a:solidFill>
              <a:srgbClr val="4472C4"/>
            </a:solidFill>
          </c:spPr>
          <c:invertIfNegative val="0"/>
          <c:cat>
            <c:strRef>
              <c:f>'Times Comparison'!$A$39:$A$41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'Times Comparison'!$B$39:$B$41</c:f>
              <c:numCache>
                <c:formatCode>0.0000000000</c:formatCode>
                <c:ptCount val="3"/>
                <c:pt idx="0">
                  <c:v>1.3000000000000001E-8</c:v>
                </c:pt>
                <c:pt idx="1">
                  <c:v>1.2E-8</c:v>
                </c:pt>
                <c:pt idx="2">
                  <c:v>1.0000000000000001E-9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A-464A-8314-612B874E4CF2}"/>
            </c:ext>
          </c:extLst>
        </c:ser>
        <c:ser>
          <c:idx val="1"/>
          <c:order val="1"/>
          <c:tx>
            <c:v>Binary GCD</c:v>
          </c:tx>
          <c:spPr>
            <a:solidFill>
              <a:srgbClr val="ED7D31"/>
            </a:solidFill>
          </c:spPr>
          <c:invertIfNegative val="0"/>
          <c:cat>
            <c:strRef>
              <c:f>'Times Comparison'!$A$39:$A$41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'Times Comparison'!$C$39:$C$41</c:f>
              <c:numCache>
                <c:formatCode>0.0000000000</c:formatCode>
                <c:ptCount val="3"/>
                <c:pt idx="0">
                  <c:v>3.5999999999999998E-8</c:v>
                </c:pt>
                <c:pt idx="1">
                  <c:v>3.8000000000000003E-8</c:v>
                </c:pt>
                <c:pt idx="2">
                  <c:v>1.0000000000000001E-9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4A-464A-8314-612B874E4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Average steps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Euclidean</c:v>
          </c:tx>
          <c:spPr>
            <a:solidFill>
              <a:srgbClr val="4472C4"/>
            </a:solidFill>
          </c:spPr>
          <c:invertIfNegative val="0"/>
          <c:cat>
            <c:strRef>
              <c:f>'Step Comparison'!$A$9:$A$11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'Step Comparison'!$B$9:$B$11</c:f>
              <c:numCache>
                <c:formatCode>0.00</c:formatCode>
                <c:ptCount val="3"/>
                <c:pt idx="0">
                  <c:v>10.5</c:v>
                </c:pt>
                <c:pt idx="1">
                  <c:v>10.5</c:v>
                </c:pt>
                <c:pt idx="2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E-484E-ADF7-D0E0C55BE40C}"/>
            </c:ext>
          </c:extLst>
        </c:ser>
        <c:ser>
          <c:idx val="1"/>
          <c:order val="1"/>
          <c:tx>
            <c:v>Binary GCD</c:v>
          </c:tx>
          <c:spPr>
            <a:solidFill>
              <a:srgbClr val="ED7D31"/>
            </a:solidFill>
          </c:spPr>
          <c:invertIfNegative val="0"/>
          <c:cat>
            <c:strRef>
              <c:f>'Step Comparison'!$A$9:$A$11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'Step Comparison'!$C$9:$C$11</c:f>
              <c:numCache>
                <c:formatCode>0.00</c:formatCode>
                <c:ptCount val="3"/>
                <c:pt idx="0">
                  <c:v>40.1</c:v>
                </c:pt>
                <c:pt idx="1">
                  <c:v>38</c:v>
                </c:pt>
                <c:pt idx="2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5E-484E-ADF7-D0E0C55BE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Max steps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Euclidean</c:v>
          </c:tx>
          <c:spPr>
            <a:solidFill>
              <a:srgbClr val="4472C4"/>
            </a:solidFill>
          </c:spPr>
          <c:invertIfNegative val="0"/>
          <c:cat>
            <c:strRef>
              <c:f>'Step Comparison'!$A$24:$A$26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'Step Comparison'!$B$24:$B$26</c:f>
              <c:numCache>
                <c:formatCode>0</c:formatCode>
                <c:ptCount val="3"/>
                <c:pt idx="0">
                  <c:v>14</c:v>
                </c:pt>
                <c:pt idx="1">
                  <c:v>15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5-4351-9FCC-EB0C5F6F1FBF}"/>
            </c:ext>
          </c:extLst>
        </c:ser>
        <c:ser>
          <c:idx val="1"/>
          <c:order val="1"/>
          <c:tx>
            <c:v>Binary GCD</c:v>
          </c:tx>
          <c:spPr>
            <a:solidFill>
              <a:srgbClr val="ED7D31"/>
            </a:solidFill>
          </c:spPr>
          <c:invertIfNegative val="0"/>
          <c:cat>
            <c:strRef>
              <c:f>'Step Comparison'!$A$24:$A$26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'Step Comparison'!$C$24:$C$26</c:f>
              <c:numCache>
                <c:formatCode>0</c:formatCode>
                <c:ptCount val="3"/>
                <c:pt idx="0">
                  <c:v>43</c:v>
                </c:pt>
                <c:pt idx="1">
                  <c:v>41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D5-4351-9FCC-EB0C5F6F1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Min steps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Euclidean</c:v>
          </c:tx>
          <c:spPr>
            <a:solidFill>
              <a:srgbClr val="4472C4"/>
            </a:solidFill>
          </c:spPr>
          <c:invertIfNegative val="0"/>
          <c:cat>
            <c:strRef>
              <c:f>'Step Comparison'!$A$39:$A$41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'Step Comparison'!$B$39:$B$41</c:f>
              <c:numCache>
                <c:formatCode>0</c:formatCode>
                <c:ptCount val="3"/>
                <c:pt idx="0">
                  <c:v>8</c:v>
                </c:pt>
                <c:pt idx="1">
                  <c:v>7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C-4B25-AE91-FDE18FBC73D8}"/>
            </c:ext>
          </c:extLst>
        </c:ser>
        <c:ser>
          <c:idx val="1"/>
          <c:order val="1"/>
          <c:tx>
            <c:v>Binary GCD</c:v>
          </c:tx>
          <c:spPr>
            <a:solidFill>
              <a:srgbClr val="ED7D31"/>
            </a:solidFill>
          </c:spPr>
          <c:invertIfNegative val="0"/>
          <c:cat>
            <c:strRef>
              <c:f>'Step Comparison'!$A$39:$A$41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'Step Comparison'!$C$39:$C$41</c:f>
              <c:numCache>
                <c:formatCode>0</c:formatCode>
                <c:ptCount val="3"/>
                <c:pt idx="0">
                  <c:v>35</c:v>
                </c:pt>
                <c:pt idx="1">
                  <c:v>32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DC-4B25-AE91-FDE18FBC7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Time per pair: Random pairs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Thời gian (giây)</c:v>
          </c:tx>
          <c:spPr>
            <a:solidFill>
              <a:srgbClr val="4472C4"/>
            </a:solidFill>
            <a:ln w="19050">
              <a:solidFill>
                <a:srgbClr val="4472C4"/>
              </a:solidFill>
              <a:prstDash val="solid"/>
            </a:ln>
          </c:spPr>
          <c:invertIfNegative val="0"/>
          <c:cat>
            <c:strRef>
              <c:f>'Euclidean times'!$A$5:$A$14</c:f>
              <c:strCache>
                <c:ptCount val="10"/>
                <c:pt idx="0">
                  <c:v>(15784, 40279)</c:v>
                </c:pt>
                <c:pt idx="1">
                  <c:v>(32453, 40116)</c:v>
                </c:pt>
                <c:pt idx="2">
                  <c:v>(28974, 18973)</c:v>
                </c:pt>
                <c:pt idx="3">
                  <c:v>(22699, 19360)</c:v>
                </c:pt>
                <c:pt idx="4">
                  <c:v>(38613, 35119)</c:v>
                </c:pt>
                <c:pt idx="5">
                  <c:v>(13734, 26466)</c:v>
                </c:pt>
                <c:pt idx="6">
                  <c:v>(10166, 13646)</c:v>
                </c:pt>
                <c:pt idx="7">
                  <c:v>(29505, 19944)</c:v>
                </c:pt>
                <c:pt idx="8">
                  <c:v>(26209, 12763)</c:v>
                </c:pt>
                <c:pt idx="9">
                  <c:v>(42537, 17596)</c:v>
                </c:pt>
              </c:strCache>
            </c:strRef>
          </c:cat>
          <c:val>
            <c:numRef>
              <c:f>'Euclidean times'!$B$5:$B$14</c:f>
              <c:numCache>
                <c:formatCode>0.0000000000</c:formatCode>
                <c:ptCount val="10"/>
                <c:pt idx="0">
                  <c:v>2.1999999999999998E-8</c:v>
                </c:pt>
                <c:pt idx="1">
                  <c:v>1.7E-8</c:v>
                </c:pt>
                <c:pt idx="2">
                  <c:v>3.1E-8</c:v>
                </c:pt>
                <c:pt idx="3">
                  <c:v>2E-8</c:v>
                </c:pt>
                <c:pt idx="4">
                  <c:v>1.3000000000000001E-8</c:v>
                </c:pt>
                <c:pt idx="5">
                  <c:v>1.9000000000000001E-8</c:v>
                </c:pt>
                <c:pt idx="6">
                  <c:v>1.9000000000000001E-8</c:v>
                </c:pt>
                <c:pt idx="7">
                  <c:v>1.6000000000000001E-8</c:v>
                </c:pt>
                <c:pt idx="8">
                  <c:v>1.6000000000000001E-8</c:v>
                </c:pt>
                <c:pt idx="9">
                  <c:v>3.1E-8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54-4D8A-A450-7DE96805C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0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Time per pair: Coprime pairs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Thời gian (giây)</c:v>
          </c:tx>
          <c:spPr>
            <a:solidFill>
              <a:srgbClr val="4472C4"/>
            </a:solidFill>
            <a:ln w="19050">
              <a:solidFill>
                <a:srgbClr val="4472C4"/>
              </a:solidFill>
              <a:prstDash val="solid"/>
            </a:ln>
          </c:spPr>
          <c:invertIfNegative val="0"/>
          <c:cat>
            <c:strRef>
              <c:f>'Euclidean times'!$A$25:$A$34</c:f>
              <c:strCache>
                <c:ptCount val="10"/>
                <c:pt idx="0">
                  <c:v>(14207, 28910)</c:v>
                </c:pt>
                <c:pt idx="1">
                  <c:v>(28086, 40867)</c:v>
                </c:pt>
                <c:pt idx="2">
                  <c:v>(39433, 28575)</c:v>
                </c:pt>
                <c:pt idx="3">
                  <c:v>(18449, 40269)</c:v>
                </c:pt>
                <c:pt idx="4">
                  <c:v>(16375, 25627)</c:v>
                </c:pt>
                <c:pt idx="5">
                  <c:v>(31143, 38345)</c:v>
                </c:pt>
                <c:pt idx="6">
                  <c:v>(38375, 23778)</c:v>
                </c:pt>
                <c:pt idx="7">
                  <c:v>(26635, 26358)</c:v>
                </c:pt>
                <c:pt idx="8">
                  <c:v>(23597, 18110)</c:v>
                </c:pt>
                <c:pt idx="9">
                  <c:v>(36754, 28591)</c:v>
                </c:pt>
              </c:strCache>
            </c:strRef>
          </c:cat>
          <c:val>
            <c:numRef>
              <c:f>'Euclidean times'!$B$25:$B$34</c:f>
              <c:numCache>
                <c:formatCode>0.0000000000</c:formatCode>
                <c:ptCount val="10"/>
                <c:pt idx="0">
                  <c:v>1.6000000000000001E-8</c:v>
                </c:pt>
                <c:pt idx="1">
                  <c:v>1.9000000000000001E-8</c:v>
                </c:pt>
                <c:pt idx="2">
                  <c:v>2.6000000000000001E-8</c:v>
                </c:pt>
                <c:pt idx="3">
                  <c:v>2.1999999999999998E-8</c:v>
                </c:pt>
                <c:pt idx="4">
                  <c:v>2.0999999999999999E-8</c:v>
                </c:pt>
                <c:pt idx="5">
                  <c:v>2.1999999999999998E-8</c:v>
                </c:pt>
                <c:pt idx="6">
                  <c:v>3.5000000000000002E-8</c:v>
                </c:pt>
                <c:pt idx="7">
                  <c:v>1.2E-8</c:v>
                </c:pt>
                <c:pt idx="8">
                  <c:v>2.0999999999999999E-8</c:v>
                </c:pt>
                <c:pt idx="9">
                  <c:v>1.2E-8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3-4049-81C6-916E5B7F3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0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Time per pair: Power of two times a common factor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Thời gian (giây)</c:v>
          </c:tx>
          <c:spPr>
            <a:solidFill>
              <a:srgbClr val="4472C4"/>
            </a:solidFill>
            <a:ln w="19050">
              <a:solidFill>
                <a:srgbClr val="4472C4"/>
              </a:solidFill>
              <a:prstDash val="solid"/>
            </a:ln>
          </c:spPr>
          <c:invertIfNegative val="0"/>
          <c:cat>
            <c:strRef>
              <c:f>'Euclidean times'!$A$45:$A$54</c:f>
              <c:strCache>
                <c:ptCount val="10"/>
                <c:pt idx="0">
                  <c:v>(61348, 30674)</c:v>
                </c:pt>
                <c:pt idx="1">
                  <c:v>(17372, 69488)</c:v>
                </c:pt>
                <c:pt idx="2">
                  <c:v>(19815, 19815)</c:v>
                </c:pt>
                <c:pt idx="3">
                  <c:v>(10939, 10939)</c:v>
                </c:pt>
                <c:pt idx="4">
                  <c:v>(10991, 43964)</c:v>
                </c:pt>
                <c:pt idx="5">
                  <c:v>(11858, 23716)</c:v>
                </c:pt>
                <c:pt idx="6">
                  <c:v>(10969, 21938)</c:v>
                </c:pt>
                <c:pt idx="7">
                  <c:v>(17786, 17786)</c:v>
                </c:pt>
                <c:pt idx="8">
                  <c:v>(11727, 23454)</c:v>
                </c:pt>
                <c:pt idx="9">
                  <c:v>(18433, 36866)</c:v>
                </c:pt>
              </c:strCache>
            </c:strRef>
          </c:cat>
          <c:val>
            <c:numRef>
              <c:f>'Euclidean times'!$B$45:$B$54</c:f>
              <c:numCache>
                <c:formatCode>0.0000000000</c:formatCode>
                <c:ptCount val="10"/>
                <c:pt idx="0">
                  <c:v>2.0000000000000001E-9</c:v>
                </c:pt>
                <c:pt idx="1">
                  <c:v>3E-9</c:v>
                </c:pt>
                <c:pt idx="2">
                  <c:v>1.0000000000000001E-9</c:v>
                </c:pt>
                <c:pt idx="3">
                  <c:v>2.0000000000000001E-9</c:v>
                </c:pt>
                <c:pt idx="4">
                  <c:v>3E-9</c:v>
                </c:pt>
                <c:pt idx="5">
                  <c:v>3E-9</c:v>
                </c:pt>
                <c:pt idx="6">
                  <c:v>3E-9</c:v>
                </c:pt>
                <c:pt idx="7">
                  <c:v>2.0000000000000001E-9</c:v>
                </c:pt>
                <c:pt idx="8">
                  <c:v>3E-9</c:v>
                </c:pt>
                <c:pt idx="9">
                  <c:v>3E-9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2F-44BB-B897-68A3A4A93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0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Steps per pair: Random pairs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Steps</c:v>
          </c:tx>
          <c:spPr>
            <a:solidFill>
              <a:srgbClr val="4472C4"/>
            </a:solidFill>
            <a:ln w="19050">
              <a:solidFill>
                <a:srgbClr val="4472C4"/>
              </a:solidFill>
              <a:prstDash val="solid"/>
            </a:ln>
          </c:spPr>
          <c:invertIfNegative val="0"/>
          <c:cat>
            <c:strRef>
              <c:f>'Euclidean Steps'!$A$5:$A$14</c:f>
              <c:strCache>
                <c:ptCount val="10"/>
                <c:pt idx="0">
                  <c:v>(15784, 40279)</c:v>
                </c:pt>
                <c:pt idx="1">
                  <c:v>(32453, 40116)</c:v>
                </c:pt>
                <c:pt idx="2">
                  <c:v>(28974, 18973)</c:v>
                </c:pt>
                <c:pt idx="3">
                  <c:v>(22699, 19360)</c:v>
                </c:pt>
                <c:pt idx="4">
                  <c:v>(38613, 35119)</c:v>
                </c:pt>
                <c:pt idx="5">
                  <c:v>(13734, 26466)</c:v>
                </c:pt>
                <c:pt idx="6">
                  <c:v>(10166, 13646)</c:v>
                </c:pt>
                <c:pt idx="7">
                  <c:v>(29505, 19944)</c:v>
                </c:pt>
                <c:pt idx="8">
                  <c:v>(26209, 12763)</c:v>
                </c:pt>
                <c:pt idx="9">
                  <c:v>(42537, 17596)</c:v>
                </c:pt>
              </c:strCache>
            </c:strRef>
          </c:cat>
          <c:val>
            <c:numRef>
              <c:f>'Euclidean Steps'!$B$5:$B$14</c:f>
              <c:numCache>
                <c:formatCode>0</c:formatCode>
                <c:ptCount val="10"/>
                <c:pt idx="0">
                  <c:v>11</c:v>
                </c:pt>
                <c:pt idx="1">
                  <c:v>10</c:v>
                </c:pt>
                <c:pt idx="2">
                  <c:v>14</c:v>
                </c:pt>
                <c:pt idx="3">
                  <c:v>10</c:v>
                </c:pt>
                <c:pt idx="4">
                  <c:v>8</c:v>
                </c:pt>
                <c:pt idx="5">
                  <c:v>10</c:v>
                </c:pt>
                <c:pt idx="6">
                  <c:v>10</c:v>
                </c:pt>
                <c:pt idx="7">
                  <c:v>9</c:v>
                </c:pt>
                <c:pt idx="8">
                  <c:v>9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A5-464B-B2DC-5A3F97D5E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Steps per pair: Coprime pairs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Steps</c:v>
          </c:tx>
          <c:spPr>
            <a:solidFill>
              <a:srgbClr val="4472C4"/>
            </a:solidFill>
            <a:ln w="19050">
              <a:solidFill>
                <a:srgbClr val="4472C4"/>
              </a:solidFill>
              <a:prstDash val="solid"/>
            </a:ln>
          </c:spPr>
          <c:invertIfNegative val="0"/>
          <c:cat>
            <c:strRef>
              <c:f>'Euclidean Steps'!$A$25:$A$34</c:f>
              <c:strCache>
                <c:ptCount val="10"/>
                <c:pt idx="0">
                  <c:v>(14207, 28910)</c:v>
                </c:pt>
                <c:pt idx="1">
                  <c:v>(28086, 40867)</c:v>
                </c:pt>
                <c:pt idx="2">
                  <c:v>(39433, 28575)</c:v>
                </c:pt>
                <c:pt idx="3">
                  <c:v>(18449, 40269)</c:v>
                </c:pt>
                <c:pt idx="4">
                  <c:v>(16375, 25627)</c:v>
                </c:pt>
                <c:pt idx="5">
                  <c:v>(31143, 38345)</c:v>
                </c:pt>
                <c:pt idx="6">
                  <c:v>(38375, 23778)</c:v>
                </c:pt>
                <c:pt idx="7">
                  <c:v>(26635, 26358)</c:v>
                </c:pt>
                <c:pt idx="8">
                  <c:v>(23597, 18110)</c:v>
                </c:pt>
                <c:pt idx="9">
                  <c:v>(36754, 28591)</c:v>
                </c:pt>
              </c:strCache>
            </c:strRef>
          </c:cat>
          <c:val>
            <c:numRef>
              <c:f>'Euclidean Steps'!$B$25:$B$34</c:f>
              <c:numCache>
                <c:formatCode>0</c:formatCode>
                <c:ptCount val="10"/>
                <c:pt idx="0">
                  <c:v>9</c:v>
                </c:pt>
                <c:pt idx="1">
                  <c:v>10</c:v>
                </c:pt>
                <c:pt idx="2">
                  <c:v>13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15</c:v>
                </c:pt>
                <c:pt idx="7">
                  <c:v>7</c:v>
                </c:pt>
                <c:pt idx="8">
                  <c:v>11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3D-4B51-B69F-2550384FF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Steps per pair: Power of two times a common factor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Steps</c:v>
          </c:tx>
          <c:spPr>
            <a:solidFill>
              <a:srgbClr val="4472C4"/>
            </a:solidFill>
            <a:ln w="19050">
              <a:solidFill>
                <a:srgbClr val="4472C4"/>
              </a:solidFill>
              <a:prstDash val="solid"/>
            </a:ln>
          </c:spPr>
          <c:invertIfNegative val="0"/>
          <c:cat>
            <c:strRef>
              <c:f>'Euclidean Steps'!$A$45:$A$54</c:f>
              <c:strCache>
                <c:ptCount val="10"/>
                <c:pt idx="0">
                  <c:v>(61348, 30674)</c:v>
                </c:pt>
                <c:pt idx="1">
                  <c:v>(17372, 69488)</c:v>
                </c:pt>
                <c:pt idx="2">
                  <c:v>(19815, 19815)</c:v>
                </c:pt>
                <c:pt idx="3">
                  <c:v>(10939, 10939)</c:v>
                </c:pt>
                <c:pt idx="4">
                  <c:v>(10991, 43964)</c:v>
                </c:pt>
                <c:pt idx="5">
                  <c:v>(11858, 23716)</c:v>
                </c:pt>
                <c:pt idx="6">
                  <c:v>(10969, 21938)</c:v>
                </c:pt>
                <c:pt idx="7">
                  <c:v>(17786, 17786)</c:v>
                </c:pt>
                <c:pt idx="8">
                  <c:v>(11727, 23454)</c:v>
                </c:pt>
                <c:pt idx="9">
                  <c:v>(18433, 36866)</c:v>
                </c:pt>
              </c:strCache>
            </c:strRef>
          </c:cat>
          <c:val>
            <c:numRef>
              <c:f>'Euclidean Steps'!$B$45:$B$54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C-4CEE-BBCB-74D7E337D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  <c:majorUnit val="1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Time per pair: Random pairs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Thời gian (giây)</c:v>
          </c:tx>
          <c:spPr>
            <a:solidFill>
              <a:srgbClr val="ED7D31"/>
            </a:solidFill>
            <a:ln w="19050">
              <a:solidFill>
                <a:srgbClr val="ED7D31"/>
              </a:solidFill>
              <a:prstDash val="solid"/>
            </a:ln>
          </c:spPr>
          <c:invertIfNegative val="0"/>
          <c:cat>
            <c:strRef>
              <c:f>'Binary GCD times'!$A$5:$A$14</c:f>
              <c:strCache>
                <c:ptCount val="10"/>
                <c:pt idx="0">
                  <c:v>(35873, 40676)</c:v>
                </c:pt>
                <c:pt idx="1">
                  <c:v>(35003, 21126)</c:v>
                </c:pt>
                <c:pt idx="2">
                  <c:v>(22050, 33672)</c:v>
                </c:pt>
                <c:pt idx="3">
                  <c:v>(33051, 11200)</c:v>
                </c:pt>
                <c:pt idx="4">
                  <c:v>(25505, 28348)</c:v>
                </c:pt>
                <c:pt idx="5">
                  <c:v>(26275, 24312)</c:v>
                </c:pt>
                <c:pt idx="6">
                  <c:v>(37578, 10772)</c:v>
                </c:pt>
                <c:pt idx="7">
                  <c:v>(28779, 19318)</c:v>
                </c:pt>
                <c:pt idx="8">
                  <c:v>(30738, 41273)</c:v>
                </c:pt>
                <c:pt idx="9">
                  <c:v>(41026, 23900)</c:v>
                </c:pt>
              </c:strCache>
            </c:strRef>
          </c:cat>
          <c:val>
            <c:numRef>
              <c:f>'Binary GCD times'!$B$5:$B$14</c:f>
              <c:numCache>
                <c:formatCode>0.0000000000</c:formatCode>
                <c:ptCount val="10"/>
                <c:pt idx="0">
                  <c:v>5.2999999999999998E-8</c:v>
                </c:pt>
                <c:pt idx="1">
                  <c:v>4.1999999999999999E-8</c:v>
                </c:pt>
                <c:pt idx="2">
                  <c:v>4.6000000000000002E-8</c:v>
                </c:pt>
                <c:pt idx="3">
                  <c:v>4.9000000000000002E-8</c:v>
                </c:pt>
                <c:pt idx="4">
                  <c:v>4.6999999999999997E-8</c:v>
                </c:pt>
                <c:pt idx="5">
                  <c:v>4.6000000000000002E-8</c:v>
                </c:pt>
                <c:pt idx="6">
                  <c:v>4.3999999999999997E-8</c:v>
                </c:pt>
                <c:pt idx="7">
                  <c:v>4.9000000000000002E-8</c:v>
                </c:pt>
                <c:pt idx="8">
                  <c:v>4.9999999999999998E-8</c:v>
                </c:pt>
                <c:pt idx="9">
                  <c:v>3.5999999999999998E-8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5-4FC1-90EB-E94D16C5C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0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Time per pair: Coprime pairs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Thời gian (giây)</c:v>
          </c:tx>
          <c:spPr>
            <a:solidFill>
              <a:srgbClr val="ED7D31"/>
            </a:solidFill>
            <a:ln w="19050">
              <a:solidFill>
                <a:srgbClr val="ED7D31"/>
              </a:solidFill>
              <a:prstDash val="solid"/>
            </a:ln>
          </c:spPr>
          <c:invertIfNegative val="0"/>
          <c:cat>
            <c:strRef>
              <c:f>'Binary GCD times'!$A$25:$A$34</c:f>
              <c:strCache>
                <c:ptCount val="10"/>
                <c:pt idx="0">
                  <c:v>(40946, 34267)</c:v>
                </c:pt>
                <c:pt idx="1">
                  <c:v>(31351, 24523)</c:v>
                </c:pt>
                <c:pt idx="2">
                  <c:v>(33733, 33702)</c:v>
                </c:pt>
                <c:pt idx="3">
                  <c:v>(18825, 19579)</c:v>
                </c:pt>
                <c:pt idx="4">
                  <c:v>(38471, 36775)</c:v>
                </c:pt>
                <c:pt idx="5">
                  <c:v>(29482, 40423)</c:v>
                </c:pt>
                <c:pt idx="6">
                  <c:v>(26680, 17143)</c:v>
                </c:pt>
                <c:pt idx="7">
                  <c:v>(35417, 16262)</c:v>
                </c:pt>
                <c:pt idx="8">
                  <c:v>(34676, 40187)</c:v>
                </c:pt>
                <c:pt idx="9">
                  <c:v>(11588, 16841)</c:v>
                </c:pt>
              </c:strCache>
            </c:strRef>
          </c:cat>
          <c:val>
            <c:numRef>
              <c:f>'Binary GCD times'!$B$25:$B$34</c:f>
              <c:numCache>
                <c:formatCode>0.0000000000</c:formatCode>
                <c:ptCount val="10"/>
                <c:pt idx="0">
                  <c:v>4.6000000000000002E-8</c:v>
                </c:pt>
                <c:pt idx="1">
                  <c:v>5.2000000000000002E-8</c:v>
                </c:pt>
                <c:pt idx="2">
                  <c:v>4.1999999999999999E-8</c:v>
                </c:pt>
                <c:pt idx="3">
                  <c:v>4.0000000000000001E-8</c:v>
                </c:pt>
                <c:pt idx="4">
                  <c:v>5.1E-8</c:v>
                </c:pt>
                <c:pt idx="5">
                  <c:v>5.2000000000000002E-8</c:v>
                </c:pt>
                <c:pt idx="6">
                  <c:v>3.8000000000000003E-8</c:v>
                </c:pt>
                <c:pt idx="7">
                  <c:v>5.2999999999999998E-8</c:v>
                </c:pt>
                <c:pt idx="8">
                  <c:v>5.2000000000000002E-8</c:v>
                </c:pt>
                <c:pt idx="9">
                  <c:v>4.1000000000000003E-8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01-4A3B-8DFF-93A8B585F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0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Time per pair: Power of two times a common factor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Thời gian (giây)</c:v>
          </c:tx>
          <c:spPr>
            <a:solidFill>
              <a:srgbClr val="ED7D31"/>
            </a:solidFill>
            <a:ln w="19050">
              <a:solidFill>
                <a:srgbClr val="ED7D31"/>
              </a:solidFill>
              <a:prstDash val="solid"/>
            </a:ln>
          </c:spPr>
          <c:invertIfNegative val="0"/>
          <c:cat>
            <c:strRef>
              <c:f>'Binary GCD times'!$A$45:$A$54</c:f>
              <c:strCache>
                <c:ptCount val="10"/>
                <c:pt idx="0">
                  <c:v>(22184, 22184)</c:v>
                </c:pt>
                <c:pt idx="1">
                  <c:v>(38152, 38152)</c:v>
                </c:pt>
                <c:pt idx="2">
                  <c:v>(69756, 69756)</c:v>
                </c:pt>
                <c:pt idx="3">
                  <c:v>(36226, 36226)</c:v>
                </c:pt>
                <c:pt idx="4">
                  <c:v>(16837, 16837)</c:v>
                </c:pt>
                <c:pt idx="5">
                  <c:v>(21166, 42332)</c:v>
                </c:pt>
                <c:pt idx="6">
                  <c:v>(16058, 16058)</c:v>
                </c:pt>
                <c:pt idx="7">
                  <c:v>(36314, 18157)</c:v>
                </c:pt>
                <c:pt idx="8">
                  <c:v>(50580, 12645)</c:v>
                </c:pt>
                <c:pt idx="9">
                  <c:v>(32120, 64240)</c:v>
                </c:pt>
              </c:strCache>
            </c:strRef>
          </c:cat>
          <c:val>
            <c:numRef>
              <c:f>'Binary GCD times'!$B$45:$B$54</c:f>
              <c:numCache>
                <c:formatCode>0.0000000000</c:formatCode>
                <c:ptCount val="10"/>
                <c:pt idx="0">
                  <c:v>3E-9</c:v>
                </c:pt>
                <c:pt idx="1">
                  <c:v>2.0000000000000001E-9</c:v>
                </c:pt>
                <c:pt idx="2">
                  <c:v>3E-9</c:v>
                </c:pt>
                <c:pt idx="3">
                  <c:v>1.0000000000000001E-9</c:v>
                </c:pt>
                <c:pt idx="4">
                  <c:v>2.0000000000000001E-9</c:v>
                </c:pt>
                <c:pt idx="5">
                  <c:v>2.0000000000000001E-9</c:v>
                </c:pt>
                <c:pt idx="6">
                  <c:v>2.0000000000000001E-9</c:v>
                </c:pt>
                <c:pt idx="7">
                  <c:v>3E-9</c:v>
                </c:pt>
                <c:pt idx="8">
                  <c:v>1.0000000000000001E-9</c:v>
                </c:pt>
                <c:pt idx="9">
                  <c:v>4.0000000000000002E-9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5-4F25-BCF9-1B918BB41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0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Steps per pair: Random pairs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Steps</c:v>
          </c:tx>
          <c:spPr>
            <a:solidFill>
              <a:srgbClr val="ED7D31"/>
            </a:solidFill>
            <a:ln w="19050">
              <a:solidFill>
                <a:srgbClr val="ED7D31"/>
              </a:solidFill>
              <a:prstDash val="solid"/>
            </a:ln>
          </c:spPr>
          <c:invertIfNegative val="0"/>
          <c:cat>
            <c:strRef>
              <c:f>'Binary GCD Steps'!$A$5:$A$14</c:f>
              <c:strCache>
                <c:ptCount val="10"/>
                <c:pt idx="0">
                  <c:v>(35873, 40676)</c:v>
                </c:pt>
                <c:pt idx="1">
                  <c:v>(35003, 21126)</c:v>
                </c:pt>
                <c:pt idx="2">
                  <c:v>(22050, 33672)</c:v>
                </c:pt>
                <c:pt idx="3">
                  <c:v>(33051, 11200)</c:v>
                </c:pt>
                <c:pt idx="4">
                  <c:v>(25505, 28348)</c:v>
                </c:pt>
                <c:pt idx="5">
                  <c:v>(26275, 24312)</c:v>
                </c:pt>
                <c:pt idx="6">
                  <c:v>(37578, 10772)</c:v>
                </c:pt>
                <c:pt idx="7">
                  <c:v>(28779, 19318)</c:v>
                </c:pt>
                <c:pt idx="8">
                  <c:v>(30738, 41273)</c:v>
                </c:pt>
                <c:pt idx="9">
                  <c:v>(41026, 23900)</c:v>
                </c:pt>
              </c:strCache>
            </c:strRef>
          </c:cat>
          <c:val>
            <c:numRef>
              <c:f>'Binary GCD Steps'!$B$5:$B$14</c:f>
              <c:numCache>
                <c:formatCode>0</c:formatCode>
                <c:ptCount val="10"/>
                <c:pt idx="0">
                  <c:v>43</c:v>
                </c:pt>
                <c:pt idx="1">
                  <c:v>43</c:v>
                </c:pt>
                <c:pt idx="2">
                  <c:v>35</c:v>
                </c:pt>
                <c:pt idx="3">
                  <c:v>39</c:v>
                </c:pt>
                <c:pt idx="4">
                  <c:v>39</c:v>
                </c:pt>
                <c:pt idx="5">
                  <c:v>43</c:v>
                </c:pt>
                <c:pt idx="6">
                  <c:v>38</c:v>
                </c:pt>
                <c:pt idx="7">
                  <c:v>40</c:v>
                </c:pt>
                <c:pt idx="8">
                  <c:v>41</c:v>
                </c:pt>
                <c:pt idx="9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F-4368-8070-2764161CD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Steps per pair: Coprime pairs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Steps</c:v>
          </c:tx>
          <c:spPr>
            <a:solidFill>
              <a:srgbClr val="ED7D31"/>
            </a:solidFill>
            <a:ln w="19050">
              <a:solidFill>
                <a:srgbClr val="ED7D31"/>
              </a:solidFill>
              <a:prstDash val="solid"/>
            </a:ln>
          </c:spPr>
          <c:invertIfNegative val="0"/>
          <c:cat>
            <c:strRef>
              <c:f>'Binary GCD Steps'!$A$25:$A$34</c:f>
              <c:strCache>
                <c:ptCount val="10"/>
                <c:pt idx="0">
                  <c:v>(40946, 34267)</c:v>
                </c:pt>
                <c:pt idx="1">
                  <c:v>(31351, 24523)</c:v>
                </c:pt>
                <c:pt idx="2">
                  <c:v>(33733, 33702)</c:v>
                </c:pt>
                <c:pt idx="3">
                  <c:v>(18825, 19579)</c:v>
                </c:pt>
                <c:pt idx="4">
                  <c:v>(38471, 36775)</c:v>
                </c:pt>
                <c:pt idx="5">
                  <c:v>(29482, 40423)</c:v>
                </c:pt>
                <c:pt idx="6">
                  <c:v>(26680, 17143)</c:v>
                </c:pt>
                <c:pt idx="7">
                  <c:v>(35417, 16262)</c:v>
                </c:pt>
                <c:pt idx="8">
                  <c:v>(34676, 40187)</c:v>
                </c:pt>
                <c:pt idx="9">
                  <c:v>(11588, 16841)</c:v>
                </c:pt>
              </c:strCache>
            </c:strRef>
          </c:cat>
          <c:val>
            <c:numRef>
              <c:f>'Binary GCD Steps'!$B$25:$B$34</c:f>
              <c:numCache>
                <c:formatCode>0</c:formatCode>
                <c:ptCount val="10"/>
                <c:pt idx="0">
                  <c:v>37</c:v>
                </c:pt>
                <c:pt idx="1">
                  <c:v>41</c:v>
                </c:pt>
                <c:pt idx="2">
                  <c:v>39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36</c:v>
                </c:pt>
                <c:pt idx="7">
                  <c:v>41</c:v>
                </c:pt>
                <c:pt idx="8">
                  <c:v>41</c:v>
                </c:pt>
                <c:pt idx="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B-4678-99CF-614F5C4AB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Steps per pair: Power of two times a common factor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Steps</c:v>
          </c:tx>
          <c:spPr>
            <a:solidFill>
              <a:srgbClr val="ED7D31"/>
            </a:solidFill>
            <a:ln w="19050">
              <a:solidFill>
                <a:srgbClr val="ED7D31"/>
              </a:solidFill>
              <a:prstDash val="solid"/>
            </a:ln>
          </c:spPr>
          <c:invertIfNegative val="0"/>
          <c:cat>
            <c:strRef>
              <c:f>'Binary GCD Steps'!$A$45:$A$54</c:f>
              <c:strCache>
                <c:ptCount val="10"/>
                <c:pt idx="0">
                  <c:v>(22184, 22184)</c:v>
                </c:pt>
                <c:pt idx="1">
                  <c:v>(38152, 38152)</c:v>
                </c:pt>
                <c:pt idx="2">
                  <c:v>(69756, 69756)</c:v>
                </c:pt>
                <c:pt idx="3">
                  <c:v>(36226, 36226)</c:v>
                </c:pt>
                <c:pt idx="4">
                  <c:v>(16837, 16837)</c:v>
                </c:pt>
                <c:pt idx="5">
                  <c:v>(21166, 42332)</c:v>
                </c:pt>
                <c:pt idx="6">
                  <c:v>(16058, 16058)</c:v>
                </c:pt>
                <c:pt idx="7">
                  <c:v>(36314, 18157)</c:v>
                </c:pt>
                <c:pt idx="8">
                  <c:v>(50580, 12645)</c:v>
                </c:pt>
                <c:pt idx="9">
                  <c:v>(32120, 64240)</c:v>
                </c:pt>
              </c:strCache>
            </c:strRef>
          </c:cat>
          <c:val>
            <c:numRef>
              <c:f>'Binary GCD Steps'!$B$45:$B$54</c:f>
              <c:numCache>
                <c:formatCode>0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3-457F-A325-D6E36DE04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21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36</xdr:row>
      <xdr:rowOff>0</xdr:rowOff>
    </xdr:from>
    <xdr:to>
      <xdr:col>14</xdr:col>
      <xdr:colOff>0</xdr:colOff>
      <xdr:row>50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21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36</xdr:row>
      <xdr:rowOff>0</xdr:rowOff>
    </xdr:from>
    <xdr:to>
      <xdr:col>14</xdr:col>
      <xdr:colOff>0</xdr:colOff>
      <xdr:row>50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22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42</xdr:row>
      <xdr:rowOff>0</xdr:rowOff>
    </xdr:from>
    <xdr:to>
      <xdr:col>14</xdr:col>
      <xdr:colOff>0</xdr:colOff>
      <xdr:row>59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22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42</xdr:row>
      <xdr:rowOff>0</xdr:rowOff>
    </xdr:from>
    <xdr:to>
      <xdr:col>14</xdr:col>
      <xdr:colOff>0</xdr:colOff>
      <xdr:row>59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22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42</xdr:row>
      <xdr:rowOff>0</xdr:rowOff>
    </xdr:from>
    <xdr:to>
      <xdr:col>14</xdr:col>
      <xdr:colOff>0</xdr:colOff>
      <xdr:row>59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22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42</xdr:row>
      <xdr:rowOff>0</xdr:rowOff>
    </xdr:from>
    <xdr:to>
      <xdr:col>14</xdr:col>
      <xdr:colOff>0</xdr:colOff>
      <xdr:row>59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showGridLines="0" workbookViewId="0">
      <selection activeCell="B17" sqref="B17"/>
    </sheetView>
  </sheetViews>
  <sheetFormatPr defaultRowHeight="14"/>
  <cols>
    <col min="1" max="1" width="48" customWidth="1"/>
    <col min="2" max="3" width="23" customWidth="1"/>
    <col min="4" max="14" width="11" customWidth="1"/>
  </cols>
  <sheetData>
    <row r="1" spans="1:14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20">
      <c r="A2" s="9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>
      <c r="A4" s="8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>
      <c r="A5" s="8" t="s">
        <v>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>
      <c r="A7" s="8" t="s">
        <v>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26" customHeight="1">
      <c r="A8" s="10" t="s">
        <v>4</v>
      </c>
      <c r="B8" s="10" t="s">
        <v>5</v>
      </c>
      <c r="C8" s="10" t="s">
        <v>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 ht="25" customHeight="1">
      <c r="A9" s="11" t="s">
        <v>7</v>
      </c>
      <c r="B9" s="12">
        <f>'Euclidean times'!B15</f>
        <v>2.0400000000000001E-8</v>
      </c>
      <c r="C9" s="12">
        <f>'Binary GCD times'!B15</f>
        <v>4.6199999999999997E-8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ht="25" customHeight="1">
      <c r="A10" s="11" t="s">
        <v>8</v>
      </c>
      <c r="B10" s="12">
        <f>'Euclidean times'!B35</f>
        <v>2.0599999999999999E-8</v>
      </c>
      <c r="C10" s="12">
        <f>'Binary GCD times'!B35</f>
        <v>4.6700000000000001E-8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 ht="25" customHeight="1">
      <c r="A11" s="11" t="s">
        <v>9</v>
      </c>
      <c r="B11" s="12">
        <f>'Euclidean times'!B55</f>
        <v>2.5000000000000001E-9</v>
      </c>
      <c r="C11" s="12">
        <f>'Binary GCD times'!B55</f>
        <v>2.2999999999999999E-9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4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>
      <c r="A22" s="8" t="s">
        <v>10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 ht="26" customHeight="1">
      <c r="A23" s="10" t="s">
        <v>4</v>
      </c>
      <c r="B23" s="10" t="s">
        <v>5</v>
      </c>
      <c r="C23" s="10" t="s">
        <v>6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ht="25" customHeight="1">
      <c r="A24" s="11" t="s">
        <v>7</v>
      </c>
      <c r="B24" s="12">
        <f>'Euclidean times'!B16</f>
        <v>3.1E-8</v>
      </c>
      <c r="C24" s="12">
        <f>'Binary GCD times'!B16</f>
        <v>5.2999999999999998E-8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 ht="25" customHeight="1">
      <c r="A25" s="11" t="s">
        <v>8</v>
      </c>
      <c r="B25" s="12">
        <f>'Euclidean times'!B36</f>
        <v>3.5000000000000002E-8</v>
      </c>
      <c r="C25" s="12">
        <f>'Binary GCD times'!B36</f>
        <v>5.2999999999999998E-8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ht="25" customHeight="1">
      <c r="A26" s="11" t="s">
        <v>9</v>
      </c>
      <c r="B26" s="12">
        <f>'Euclidean times'!B56</f>
        <v>3E-9</v>
      </c>
      <c r="C26" s="12">
        <f>'Binary GCD times'!B56</f>
        <v>4.0000000000000002E-9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>
      <c r="A37" s="8" t="s">
        <v>11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ht="26" customHeight="1">
      <c r="A38" s="10" t="s">
        <v>4</v>
      </c>
      <c r="B38" s="10" t="s">
        <v>5</v>
      </c>
      <c r="C38" s="10" t="s">
        <v>6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 ht="25" customHeight="1">
      <c r="A39" s="11" t="s">
        <v>7</v>
      </c>
      <c r="B39" s="12">
        <f>'Euclidean times'!B17</f>
        <v>1.3000000000000001E-8</v>
      </c>
      <c r="C39" s="12">
        <f>'Binary GCD times'!B17</f>
        <v>3.5999999999999998E-8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ht="25" customHeight="1">
      <c r="A40" s="11" t="s">
        <v>8</v>
      </c>
      <c r="B40" s="12">
        <f>'Euclidean times'!B37</f>
        <v>1.2E-8</v>
      </c>
      <c r="C40" s="12">
        <f>'Binary GCD times'!B37</f>
        <v>3.8000000000000003E-8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 ht="25" customHeight="1">
      <c r="A41" s="11" t="s">
        <v>9</v>
      </c>
      <c r="B41" s="12">
        <f>'Euclidean times'!B57</f>
        <v>1.0000000000000001E-9</v>
      </c>
      <c r="C41" s="12">
        <f>'Binary GCD times'!B57</f>
        <v>1.0000000000000001E-9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1:1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1:1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1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1"/>
  <sheetViews>
    <sheetView showGridLines="0" tabSelected="1" topLeftCell="A25" zoomScale="70" zoomScaleNormal="70" workbookViewId="0"/>
  </sheetViews>
  <sheetFormatPr defaultRowHeight="14"/>
  <cols>
    <col min="1" max="1" width="48" customWidth="1"/>
    <col min="2" max="3" width="23" customWidth="1"/>
    <col min="4" max="14" width="11" customWidth="1"/>
  </cols>
  <sheetData>
    <row r="1" spans="1:14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20">
      <c r="A2" s="9" t="s">
        <v>85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>
      <c r="A4" s="8" t="s">
        <v>86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>
      <c r="A5" s="8" t="s">
        <v>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>
      <c r="A7" s="8" t="s">
        <v>81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26" customHeight="1">
      <c r="A8" s="10" t="s">
        <v>4</v>
      </c>
      <c r="B8" s="10" t="s">
        <v>5</v>
      </c>
      <c r="C8" s="10" t="s">
        <v>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 ht="25" customHeight="1">
      <c r="A9" s="11" t="s">
        <v>7</v>
      </c>
      <c r="B9" s="15">
        <f>'Euclidean Steps'!B15</f>
        <v>10.5</v>
      </c>
      <c r="C9" s="15">
        <f>'Binary GCD Steps'!B15</f>
        <v>40.1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ht="25" customHeight="1">
      <c r="A10" s="11" t="s">
        <v>8</v>
      </c>
      <c r="B10" s="15">
        <f>'Euclidean Steps'!B35</f>
        <v>10.5</v>
      </c>
      <c r="C10" s="15">
        <f>'Binary GCD Steps'!B35</f>
        <v>38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 ht="25" customHeight="1">
      <c r="A11" s="11" t="s">
        <v>9</v>
      </c>
      <c r="B11" s="15">
        <f>'Euclidean Steps'!B55</f>
        <v>1.6</v>
      </c>
      <c r="C11" s="15">
        <f>'Binary GCD Steps'!B55</f>
        <v>2.9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4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>
      <c r="A22" s="8" t="s">
        <v>82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 ht="26" customHeight="1">
      <c r="A23" s="10" t="s">
        <v>4</v>
      </c>
      <c r="B23" s="10" t="s">
        <v>5</v>
      </c>
      <c r="C23" s="10" t="s">
        <v>6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ht="25" customHeight="1">
      <c r="A24" s="11" t="s">
        <v>7</v>
      </c>
      <c r="B24" s="16">
        <f>'Euclidean Steps'!B16</f>
        <v>14</v>
      </c>
      <c r="C24" s="16">
        <f>'Binary GCD Steps'!B16</f>
        <v>43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 ht="25" customHeight="1">
      <c r="A25" s="11" t="s">
        <v>8</v>
      </c>
      <c r="B25" s="16">
        <f>'Euclidean Steps'!B36</f>
        <v>15</v>
      </c>
      <c r="C25" s="16">
        <f>'Binary GCD Steps'!B36</f>
        <v>41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ht="25" customHeight="1">
      <c r="A26" s="11" t="s">
        <v>9</v>
      </c>
      <c r="B26" s="16">
        <f>'Euclidean Steps'!B56</f>
        <v>2</v>
      </c>
      <c r="C26" s="16">
        <f>'Binary GCD Steps'!B56</f>
        <v>5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>
      <c r="A37" s="8" t="s">
        <v>83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ht="26" customHeight="1">
      <c r="A38" s="10" t="s">
        <v>4</v>
      </c>
      <c r="B38" s="10" t="s">
        <v>5</v>
      </c>
      <c r="C38" s="10" t="s">
        <v>6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 ht="25" customHeight="1">
      <c r="A39" s="11" t="s">
        <v>7</v>
      </c>
      <c r="B39" s="16">
        <f>'Euclidean Steps'!B17</f>
        <v>8</v>
      </c>
      <c r="C39" s="16">
        <f>'Binary GCD Steps'!B17</f>
        <v>35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ht="25" customHeight="1">
      <c r="A40" s="11" t="s">
        <v>8</v>
      </c>
      <c r="B40" s="16">
        <f>'Euclidean Steps'!B37</f>
        <v>7</v>
      </c>
      <c r="C40" s="16">
        <f>'Binary GCD Steps'!B37</f>
        <v>32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 ht="25" customHeight="1">
      <c r="A41" s="11" t="s">
        <v>9</v>
      </c>
      <c r="B41" s="16">
        <f>'Euclidean Steps'!B57</f>
        <v>1</v>
      </c>
      <c r="C41" s="16">
        <f>'Binary GCD Steps'!B57</f>
        <v>1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1:1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1:1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1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"/>
  <sheetViews>
    <sheetView showGridLines="0" zoomScale="55" zoomScaleNormal="55" workbookViewId="0">
      <selection activeCell="B2" sqref="B2"/>
    </sheetView>
  </sheetViews>
  <sheetFormatPr defaultRowHeight="14"/>
  <cols>
    <col min="1" max="1" width="48" customWidth="1"/>
    <col min="2" max="2" width="23" customWidth="1"/>
    <col min="3" max="3" width="4" customWidth="1"/>
    <col min="4" max="14" width="12" customWidth="1"/>
  </cols>
  <sheetData>
    <row r="1" spans="1:4" ht="24" customHeight="1">
      <c r="A1" s="3" t="s">
        <v>12</v>
      </c>
      <c r="B1" s="1"/>
    </row>
    <row r="2" spans="1:4" ht="24" customHeight="1">
      <c r="A2" s="1"/>
      <c r="B2" s="1"/>
    </row>
    <row r="3" spans="1:4" ht="24" customHeight="1">
      <c r="A3" s="17" t="s">
        <v>7</v>
      </c>
      <c r="B3" s="17"/>
      <c r="C3" s="18"/>
      <c r="D3" s="18"/>
    </row>
    <row r="4" spans="1:4" ht="24" customHeight="1">
      <c r="A4" s="4" t="s">
        <v>13</v>
      </c>
      <c r="B4" s="4" t="s">
        <v>14</v>
      </c>
    </row>
    <row r="5" spans="1:4" ht="24" customHeight="1">
      <c r="A5" s="2" t="s">
        <v>15</v>
      </c>
      <c r="B5" s="5">
        <v>2.1999999999999998E-8</v>
      </c>
    </row>
    <row r="6" spans="1:4" ht="24" customHeight="1">
      <c r="A6" s="2" t="s">
        <v>16</v>
      </c>
      <c r="B6" s="5">
        <v>1.7E-8</v>
      </c>
    </row>
    <row r="7" spans="1:4" ht="24" customHeight="1">
      <c r="A7" s="2" t="s">
        <v>17</v>
      </c>
      <c r="B7" s="5">
        <v>3.1E-8</v>
      </c>
    </row>
    <row r="8" spans="1:4" ht="24" customHeight="1">
      <c r="A8" s="2" t="s">
        <v>18</v>
      </c>
      <c r="B8" s="5">
        <v>2E-8</v>
      </c>
    </row>
    <row r="9" spans="1:4" ht="24" customHeight="1">
      <c r="A9" s="2" t="s">
        <v>19</v>
      </c>
      <c r="B9" s="5">
        <v>1.3000000000000001E-8</v>
      </c>
    </row>
    <row r="10" spans="1:4" ht="24" customHeight="1">
      <c r="A10" s="2" t="s">
        <v>20</v>
      </c>
      <c r="B10" s="5">
        <v>1.9000000000000001E-8</v>
      </c>
    </row>
    <row r="11" spans="1:4" ht="24" customHeight="1">
      <c r="A11" s="2" t="s">
        <v>21</v>
      </c>
      <c r="B11" s="5">
        <v>1.9000000000000001E-8</v>
      </c>
    </row>
    <row r="12" spans="1:4" ht="24" customHeight="1">
      <c r="A12" s="2" t="s">
        <v>22</v>
      </c>
      <c r="B12" s="5">
        <v>1.6000000000000001E-8</v>
      </c>
    </row>
    <row r="13" spans="1:4" ht="24" customHeight="1">
      <c r="A13" s="2" t="s">
        <v>23</v>
      </c>
      <c r="B13" s="5">
        <v>1.6000000000000001E-8</v>
      </c>
    </row>
    <row r="14" spans="1:4" ht="24" customHeight="1">
      <c r="A14" s="2" t="s">
        <v>24</v>
      </c>
      <c r="B14" s="5">
        <v>3.1E-8</v>
      </c>
    </row>
    <row r="15" spans="1:4" ht="24" customHeight="1">
      <c r="A15" s="2" t="s">
        <v>25</v>
      </c>
      <c r="B15" s="5">
        <f>AVERAGE(B5:B14)</f>
        <v>2.0400000000000001E-8</v>
      </c>
    </row>
    <row r="16" spans="1:4" ht="24" customHeight="1">
      <c r="A16" s="2" t="s">
        <v>26</v>
      </c>
      <c r="B16" s="5">
        <f>MAX(B5:B14)</f>
        <v>3.1E-8</v>
      </c>
    </row>
    <row r="17" spans="1:4" ht="24" customHeight="1">
      <c r="A17" s="2" t="s">
        <v>27</v>
      </c>
      <c r="B17" s="5">
        <f>MIN(B5:B14)</f>
        <v>1.3000000000000001E-8</v>
      </c>
    </row>
    <row r="18" spans="1:4" ht="24" customHeight="1">
      <c r="A18" s="1"/>
      <c r="B18" s="6"/>
    </row>
    <row r="19" spans="1:4" ht="24" customHeight="1">
      <c r="A19" s="1"/>
      <c r="B19" s="6"/>
    </row>
    <row r="20" spans="1:4" ht="24" customHeight="1">
      <c r="A20" s="1"/>
      <c r="B20" s="6"/>
    </row>
    <row r="21" spans="1:4" ht="24" customHeight="1">
      <c r="A21" s="1"/>
      <c r="B21" s="6"/>
    </row>
    <row r="22" spans="1:4" ht="24" customHeight="1">
      <c r="A22" s="1"/>
      <c r="B22" s="6"/>
    </row>
    <row r="23" spans="1:4" ht="24" customHeight="1">
      <c r="A23" s="17" t="s">
        <v>8</v>
      </c>
      <c r="B23" s="19"/>
      <c r="C23" s="18"/>
      <c r="D23" s="18"/>
    </row>
    <row r="24" spans="1:4" ht="24" customHeight="1">
      <c r="A24" s="4" t="s">
        <v>13</v>
      </c>
      <c r="B24" s="7" t="s">
        <v>14</v>
      </c>
    </row>
    <row r="25" spans="1:4" ht="24" customHeight="1">
      <c r="A25" s="2" t="s">
        <v>28</v>
      </c>
      <c r="B25" s="5">
        <v>1.6000000000000001E-8</v>
      </c>
    </row>
    <row r="26" spans="1:4" ht="24" customHeight="1">
      <c r="A26" s="2" t="s">
        <v>29</v>
      </c>
      <c r="B26" s="5">
        <v>1.9000000000000001E-8</v>
      </c>
    </row>
    <row r="27" spans="1:4" ht="24" customHeight="1">
      <c r="A27" s="2" t="s">
        <v>30</v>
      </c>
      <c r="B27" s="5">
        <v>2.6000000000000001E-8</v>
      </c>
    </row>
    <row r="28" spans="1:4" ht="24" customHeight="1">
      <c r="A28" s="2" t="s">
        <v>31</v>
      </c>
      <c r="B28" s="5">
        <v>2.1999999999999998E-8</v>
      </c>
    </row>
    <row r="29" spans="1:4" ht="24" customHeight="1">
      <c r="A29" s="2" t="s">
        <v>32</v>
      </c>
      <c r="B29" s="5">
        <v>2.0999999999999999E-8</v>
      </c>
    </row>
    <row r="30" spans="1:4" ht="24" customHeight="1">
      <c r="A30" s="2" t="s">
        <v>33</v>
      </c>
      <c r="B30" s="5">
        <v>2.1999999999999998E-8</v>
      </c>
    </row>
    <row r="31" spans="1:4" ht="24" customHeight="1">
      <c r="A31" s="2" t="s">
        <v>34</v>
      </c>
      <c r="B31" s="5">
        <v>3.5000000000000002E-8</v>
      </c>
    </row>
    <row r="32" spans="1:4" ht="24" customHeight="1">
      <c r="A32" s="2" t="s">
        <v>35</v>
      </c>
      <c r="B32" s="5">
        <v>1.2E-8</v>
      </c>
    </row>
    <row r="33" spans="1:4" ht="24" customHeight="1">
      <c r="A33" s="2" t="s">
        <v>36</v>
      </c>
      <c r="B33" s="5">
        <v>2.0999999999999999E-8</v>
      </c>
    </row>
    <row r="34" spans="1:4" ht="24" customHeight="1">
      <c r="A34" s="2" t="s">
        <v>37</v>
      </c>
      <c r="B34" s="5">
        <v>1.2E-8</v>
      </c>
    </row>
    <row r="35" spans="1:4" ht="24" customHeight="1">
      <c r="A35" s="2" t="s">
        <v>25</v>
      </c>
      <c r="B35" s="5">
        <f>AVERAGE(B25:B34)</f>
        <v>2.0599999999999999E-8</v>
      </c>
    </row>
    <row r="36" spans="1:4" ht="24" customHeight="1">
      <c r="A36" s="2" t="s">
        <v>26</v>
      </c>
      <c r="B36" s="5">
        <f>MAX(B25:B34)</f>
        <v>3.5000000000000002E-8</v>
      </c>
    </row>
    <row r="37" spans="1:4" ht="24" customHeight="1">
      <c r="A37" s="2" t="s">
        <v>27</v>
      </c>
      <c r="B37" s="5">
        <f>MIN(B25:B34)</f>
        <v>1.2E-8</v>
      </c>
    </row>
    <row r="38" spans="1:4" ht="24" customHeight="1">
      <c r="A38" s="1"/>
      <c r="B38" s="6"/>
    </row>
    <row r="39" spans="1:4" ht="24" customHeight="1">
      <c r="A39" s="1"/>
      <c r="B39" s="6"/>
    </row>
    <row r="40" spans="1:4" ht="24" customHeight="1">
      <c r="A40" s="1"/>
      <c r="B40" s="6"/>
    </row>
    <row r="41" spans="1:4" ht="24" customHeight="1">
      <c r="A41" s="1"/>
      <c r="B41" s="6"/>
    </row>
    <row r="42" spans="1:4" ht="24" customHeight="1">
      <c r="A42" s="1"/>
      <c r="B42" s="6"/>
    </row>
    <row r="43" spans="1:4" ht="24" customHeight="1">
      <c r="A43" s="17" t="s">
        <v>9</v>
      </c>
      <c r="B43" s="19"/>
      <c r="C43" s="18"/>
      <c r="D43" s="18"/>
    </row>
    <row r="44" spans="1:4" ht="24" customHeight="1">
      <c r="A44" s="4" t="s">
        <v>13</v>
      </c>
      <c r="B44" s="7" t="s">
        <v>14</v>
      </c>
    </row>
    <row r="45" spans="1:4" ht="24" customHeight="1">
      <c r="A45" s="2" t="s">
        <v>38</v>
      </c>
      <c r="B45" s="5">
        <v>2.0000000000000001E-9</v>
      </c>
    </row>
    <row r="46" spans="1:4" ht="24" customHeight="1">
      <c r="A46" s="2" t="s">
        <v>39</v>
      </c>
      <c r="B46" s="5">
        <v>3E-9</v>
      </c>
    </row>
    <row r="47" spans="1:4" ht="24" customHeight="1">
      <c r="A47" s="2" t="s">
        <v>40</v>
      </c>
      <c r="B47" s="5">
        <v>1.0000000000000001E-9</v>
      </c>
    </row>
    <row r="48" spans="1:4" ht="24" customHeight="1">
      <c r="A48" s="2" t="s">
        <v>41</v>
      </c>
      <c r="B48" s="5">
        <v>2.0000000000000001E-9</v>
      </c>
    </row>
    <row r="49" spans="1:2" ht="24" customHeight="1">
      <c r="A49" s="2" t="s">
        <v>42</v>
      </c>
      <c r="B49" s="5">
        <v>3E-9</v>
      </c>
    </row>
    <row r="50" spans="1:2" ht="24" customHeight="1">
      <c r="A50" s="2" t="s">
        <v>43</v>
      </c>
      <c r="B50" s="5">
        <v>3E-9</v>
      </c>
    </row>
    <row r="51" spans="1:2" ht="24" customHeight="1">
      <c r="A51" s="2" t="s">
        <v>44</v>
      </c>
      <c r="B51" s="5">
        <v>3E-9</v>
      </c>
    </row>
    <row r="52" spans="1:2" ht="24" customHeight="1">
      <c r="A52" s="2" t="s">
        <v>45</v>
      </c>
      <c r="B52" s="5">
        <v>2.0000000000000001E-9</v>
      </c>
    </row>
    <row r="53" spans="1:2" ht="24" customHeight="1">
      <c r="A53" s="2" t="s">
        <v>46</v>
      </c>
      <c r="B53" s="5">
        <v>3E-9</v>
      </c>
    </row>
    <row r="54" spans="1:2" ht="24" customHeight="1">
      <c r="A54" s="2" t="s">
        <v>47</v>
      </c>
      <c r="B54" s="5">
        <v>3E-9</v>
      </c>
    </row>
    <row r="55" spans="1:2" ht="24" customHeight="1">
      <c r="A55" s="2" t="s">
        <v>25</v>
      </c>
      <c r="B55" s="5">
        <f>AVERAGE(B45:B54)</f>
        <v>2.5000000000000001E-9</v>
      </c>
    </row>
    <row r="56" spans="1:2" ht="24" customHeight="1">
      <c r="A56" s="2" t="s">
        <v>26</v>
      </c>
      <c r="B56" s="5">
        <f>MAX(B45:B54)</f>
        <v>3E-9</v>
      </c>
    </row>
    <row r="57" spans="1:2" ht="24" customHeight="1">
      <c r="A57" s="2" t="s">
        <v>27</v>
      </c>
      <c r="B57" s="5">
        <f>MIN(B45:B54)</f>
        <v>1.0000000000000001E-9</v>
      </c>
    </row>
  </sheetData>
  <mergeCells count="3">
    <mergeCell ref="A3:D3"/>
    <mergeCell ref="A23:D23"/>
    <mergeCell ref="A43:D4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7"/>
  <sheetViews>
    <sheetView showGridLines="0" zoomScale="40" zoomScaleNormal="40" workbookViewId="0"/>
  </sheetViews>
  <sheetFormatPr defaultRowHeight="14"/>
  <cols>
    <col min="1" max="1" width="48" customWidth="1"/>
    <col min="2" max="2" width="23" customWidth="1"/>
    <col min="3" max="3" width="4" customWidth="1"/>
    <col min="4" max="14" width="12" customWidth="1"/>
  </cols>
  <sheetData>
    <row r="1" spans="1:4" ht="24" customHeight="1">
      <c r="A1" s="3" t="s">
        <v>79</v>
      </c>
      <c r="B1" s="1"/>
    </row>
    <row r="2" spans="1:4" ht="24" customHeight="1">
      <c r="A2" s="1"/>
      <c r="B2" s="1"/>
    </row>
    <row r="3" spans="1:4" ht="24" customHeight="1">
      <c r="A3" s="17" t="s">
        <v>7</v>
      </c>
      <c r="B3" s="17"/>
      <c r="C3" s="18"/>
      <c r="D3" s="18"/>
    </row>
    <row r="4" spans="1:4" ht="24" customHeight="1">
      <c r="A4" s="4" t="s">
        <v>13</v>
      </c>
      <c r="B4" s="4" t="s">
        <v>80</v>
      </c>
    </row>
    <row r="5" spans="1:4" ht="24" customHeight="1">
      <c r="A5" s="2" t="s">
        <v>15</v>
      </c>
      <c r="B5" s="13">
        <v>11</v>
      </c>
    </row>
    <row r="6" spans="1:4" ht="24" customHeight="1">
      <c r="A6" s="2" t="s">
        <v>16</v>
      </c>
      <c r="B6" s="13">
        <v>10</v>
      </c>
    </row>
    <row r="7" spans="1:4" ht="24" customHeight="1">
      <c r="A7" s="2" t="s">
        <v>17</v>
      </c>
      <c r="B7" s="13">
        <v>14</v>
      </c>
    </row>
    <row r="8" spans="1:4" ht="24" customHeight="1">
      <c r="A8" s="2" t="s">
        <v>18</v>
      </c>
      <c r="B8" s="13">
        <v>10</v>
      </c>
    </row>
    <row r="9" spans="1:4" ht="24" customHeight="1">
      <c r="A9" s="2" t="s">
        <v>19</v>
      </c>
      <c r="B9" s="13">
        <v>8</v>
      </c>
    </row>
    <row r="10" spans="1:4" ht="24" customHeight="1">
      <c r="A10" s="2" t="s">
        <v>20</v>
      </c>
      <c r="B10" s="13">
        <v>10</v>
      </c>
    </row>
    <row r="11" spans="1:4" ht="24" customHeight="1">
      <c r="A11" s="2" t="s">
        <v>21</v>
      </c>
      <c r="B11" s="13">
        <v>10</v>
      </c>
    </row>
    <row r="12" spans="1:4" ht="24" customHeight="1">
      <c r="A12" s="2" t="s">
        <v>22</v>
      </c>
      <c r="B12" s="13">
        <v>9</v>
      </c>
    </row>
    <row r="13" spans="1:4" ht="24" customHeight="1">
      <c r="A13" s="2" t="s">
        <v>23</v>
      </c>
      <c r="B13" s="13">
        <v>9</v>
      </c>
    </row>
    <row r="14" spans="1:4" ht="24" customHeight="1">
      <c r="A14" s="2" t="s">
        <v>24</v>
      </c>
      <c r="B14" s="13">
        <v>14</v>
      </c>
    </row>
    <row r="15" spans="1:4" ht="24" customHeight="1">
      <c r="A15" s="2" t="s">
        <v>81</v>
      </c>
      <c r="B15" s="14">
        <f>AVERAGE(B5:B14)</f>
        <v>10.5</v>
      </c>
    </row>
    <row r="16" spans="1:4" ht="24" customHeight="1">
      <c r="A16" s="2" t="s">
        <v>82</v>
      </c>
      <c r="B16" s="13">
        <f>MAX(B5:B14)</f>
        <v>14</v>
      </c>
    </row>
    <row r="17" spans="1:4" ht="24" customHeight="1">
      <c r="A17" s="2" t="s">
        <v>83</v>
      </c>
      <c r="B17" s="13">
        <f>MIN(B5:B14)</f>
        <v>8</v>
      </c>
    </row>
    <row r="18" spans="1:4" ht="24" customHeight="1">
      <c r="A18" s="1"/>
      <c r="B18" s="6"/>
    </row>
    <row r="19" spans="1:4" ht="24" customHeight="1">
      <c r="A19" s="1"/>
      <c r="B19" s="6"/>
    </row>
    <row r="20" spans="1:4" ht="24" customHeight="1">
      <c r="A20" s="1"/>
      <c r="B20" s="6"/>
    </row>
    <row r="21" spans="1:4" ht="24" customHeight="1">
      <c r="A21" s="1"/>
      <c r="B21" s="6"/>
    </row>
    <row r="22" spans="1:4" ht="24" customHeight="1">
      <c r="A22" s="1"/>
      <c r="B22" s="6"/>
    </row>
    <row r="23" spans="1:4" ht="24" customHeight="1">
      <c r="A23" s="17" t="s">
        <v>8</v>
      </c>
      <c r="B23" s="19"/>
      <c r="C23" s="18"/>
      <c r="D23" s="18"/>
    </row>
    <row r="24" spans="1:4" ht="24" customHeight="1">
      <c r="A24" s="4" t="s">
        <v>13</v>
      </c>
      <c r="B24" s="7" t="s">
        <v>80</v>
      </c>
    </row>
    <row r="25" spans="1:4" ht="24" customHeight="1">
      <c r="A25" s="2" t="s">
        <v>28</v>
      </c>
      <c r="B25" s="13">
        <v>9</v>
      </c>
    </row>
    <row r="26" spans="1:4" ht="24" customHeight="1">
      <c r="A26" s="2" t="s">
        <v>29</v>
      </c>
      <c r="B26" s="13">
        <v>10</v>
      </c>
    </row>
    <row r="27" spans="1:4" ht="24" customHeight="1">
      <c r="A27" s="2" t="s">
        <v>30</v>
      </c>
      <c r="B27" s="13">
        <v>13</v>
      </c>
    </row>
    <row r="28" spans="1:4" ht="24" customHeight="1">
      <c r="A28" s="2" t="s">
        <v>31</v>
      </c>
      <c r="B28" s="13">
        <v>11</v>
      </c>
    </row>
    <row r="29" spans="1:4" ht="24" customHeight="1">
      <c r="A29" s="2" t="s">
        <v>32</v>
      </c>
      <c r="B29" s="13">
        <v>11</v>
      </c>
    </row>
    <row r="30" spans="1:4" ht="24" customHeight="1">
      <c r="A30" s="2" t="s">
        <v>33</v>
      </c>
      <c r="B30" s="13">
        <v>11</v>
      </c>
    </row>
    <row r="31" spans="1:4" ht="24" customHeight="1">
      <c r="A31" s="2" t="s">
        <v>34</v>
      </c>
      <c r="B31" s="13">
        <v>15</v>
      </c>
    </row>
    <row r="32" spans="1:4" ht="24" customHeight="1">
      <c r="A32" s="2" t="s">
        <v>35</v>
      </c>
      <c r="B32" s="13">
        <v>7</v>
      </c>
    </row>
    <row r="33" spans="1:4" ht="24" customHeight="1">
      <c r="A33" s="2" t="s">
        <v>36</v>
      </c>
      <c r="B33" s="13">
        <v>11</v>
      </c>
    </row>
    <row r="34" spans="1:4" ht="24" customHeight="1">
      <c r="A34" s="2" t="s">
        <v>37</v>
      </c>
      <c r="B34" s="13">
        <v>7</v>
      </c>
    </row>
    <row r="35" spans="1:4" ht="24" customHeight="1">
      <c r="A35" s="2" t="s">
        <v>81</v>
      </c>
      <c r="B35" s="14">
        <f>AVERAGE(B25:B34)</f>
        <v>10.5</v>
      </c>
    </row>
    <row r="36" spans="1:4" ht="24" customHeight="1">
      <c r="A36" s="2" t="s">
        <v>82</v>
      </c>
      <c r="B36" s="13">
        <f>MAX(B25:B34)</f>
        <v>15</v>
      </c>
    </row>
    <row r="37" spans="1:4" ht="24" customHeight="1">
      <c r="A37" s="2" t="s">
        <v>83</v>
      </c>
      <c r="B37" s="13">
        <f>MIN(B25:B34)</f>
        <v>7</v>
      </c>
    </row>
    <row r="38" spans="1:4" ht="24" customHeight="1">
      <c r="A38" s="1"/>
      <c r="B38" s="6"/>
    </row>
    <row r="39" spans="1:4" ht="24" customHeight="1">
      <c r="A39" s="1"/>
      <c r="B39" s="6"/>
    </row>
    <row r="40" spans="1:4" ht="24" customHeight="1">
      <c r="A40" s="1"/>
      <c r="B40" s="6"/>
    </row>
    <row r="41" spans="1:4" ht="24" customHeight="1">
      <c r="A41" s="1"/>
      <c r="B41" s="6"/>
    </row>
    <row r="42" spans="1:4" ht="24" customHeight="1">
      <c r="A42" s="1"/>
      <c r="B42" s="6"/>
    </row>
    <row r="43" spans="1:4" ht="24" customHeight="1">
      <c r="A43" s="17" t="s">
        <v>9</v>
      </c>
      <c r="B43" s="19"/>
      <c r="C43" s="18"/>
      <c r="D43" s="18"/>
    </row>
    <row r="44" spans="1:4" ht="24" customHeight="1">
      <c r="A44" s="4" t="s">
        <v>13</v>
      </c>
      <c r="B44" s="7" t="s">
        <v>80</v>
      </c>
    </row>
    <row r="45" spans="1:4" ht="24" customHeight="1">
      <c r="A45" s="2" t="s">
        <v>38</v>
      </c>
      <c r="B45" s="13">
        <v>1</v>
      </c>
    </row>
    <row r="46" spans="1:4" ht="24" customHeight="1">
      <c r="A46" s="2" t="s">
        <v>39</v>
      </c>
      <c r="B46" s="13">
        <v>2</v>
      </c>
    </row>
    <row r="47" spans="1:4" ht="24" customHeight="1">
      <c r="A47" s="2" t="s">
        <v>40</v>
      </c>
      <c r="B47" s="13">
        <v>1</v>
      </c>
    </row>
    <row r="48" spans="1:4" ht="24" customHeight="1">
      <c r="A48" s="2" t="s">
        <v>41</v>
      </c>
      <c r="B48" s="13">
        <v>1</v>
      </c>
    </row>
    <row r="49" spans="1:2" ht="24" customHeight="1">
      <c r="A49" s="2" t="s">
        <v>42</v>
      </c>
      <c r="B49" s="13">
        <v>2</v>
      </c>
    </row>
    <row r="50" spans="1:2" ht="24" customHeight="1">
      <c r="A50" s="2" t="s">
        <v>43</v>
      </c>
      <c r="B50" s="13">
        <v>2</v>
      </c>
    </row>
    <row r="51" spans="1:2" ht="24" customHeight="1">
      <c r="A51" s="2" t="s">
        <v>44</v>
      </c>
      <c r="B51" s="13">
        <v>2</v>
      </c>
    </row>
    <row r="52" spans="1:2" ht="24" customHeight="1">
      <c r="A52" s="2" t="s">
        <v>45</v>
      </c>
      <c r="B52" s="13">
        <v>1</v>
      </c>
    </row>
    <row r="53" spans="1:2" ht="24" customHeight="1">
      <c r="A53" s="2" t="s">
        <v>46</v>
      </c>
      <c r="B53" s="13">
        <v>2</v>
      </c>
    </row>
    <row r="54" spans="1:2" ht="24" customHeight="1">
      <c r="A54" s="2" t="s">
        <v>47</v>
      </c>
      <c r="B54" s="13">
        <v>2</v>
      </c>
    </row>
    <row r="55" spans="1:2" ht="24" customHeight="1">
      <c r="A55" s="2" t="s">
        <v>81</v>
      </c>
      <c r="B55" s="14">
        <f>AVERAGE(B45:B54)</f>
        <v>1.6</v>
      </c>
    </row>
    <row r="56" spans="1:2" ht="24" customHeight="1">
      <c r="A56" s="2" t="s">
        <v>82</v>
      </c>
      <c r="B56" s="13">
        <f>MAX(B45:B54)</f>
        <v>2</v>
      </c>
    </row>
    <row r="57" spans="1:2" ht="24" customHeight="1">
      <c r="A57" s="2" t="s">
        <v>83</v>
      </c>
      <c r="B57" s="13">
        <f>MIN(B45:B54)</f>
        <v>1</v>
      </c>
    </row>
  </sheetData>
  <mergeCells count="3">
    <mergeCell ref="A3:D3"/>
    <mergeCell ref="A23:D23"/>
    <mergeCell ref="A43:D4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7"/>
  <sheetViews>
    <sheetView showGridLines="0" topLeftCell="A21" zoomScale="40" zoomScaleNormal="40" workbookViewId="0">
      <selection activeCell="Q40" sqref="Q40"/>
    </sheetView>
  </sheetViews>
  <sheetFormatPr defaultRowHeight="14"/>
  <cols>
    <col min="1" max="1" width="48" customWidth="1"/>
    <col min="2" max="2" width="23" customWidth="1"/>
    <col min="3" max="3" width="4" customWidth="1"/>
    <col min="4" max="14" width="12" customWidth="1"/>
  </cols>
  <sheetData>
    <row r="1" spans="1:4" ht="24" customHeight="1">
      <c r="A1" s="3" t="s">
        <v>48</v>
      </c>
      <c r="B1" s="1"/>
    </row>
    <row r="2" spans="1:4" ht="24" customHeight="1">
      <c r="A2" s="1"/>
      <c r="B2" s="1"/>
    </row>
    <row r="3" spans="1:4" ht="24" customHeight="1">
      <c r="A3" s="17" t="s">
        <v>7</v>
      </c>
      <c r="B3" s="17"/>
      <c r="C3" s="18"/>
      <c r="D3" s="18"/>
    </row>
    <row r="4" spans="1:4" ht="24" customHeight="1">
      <c r="A4" s="4" t="s">
        <v>13</v>
      </c>
      <c r="B4" s="4" t="s">
        <v>14</v>
      </c>
    </row>
    <row r="5" spans="1:4" ht="24" customHeight="1">
      <c r="A5" s="2" t="s">
        <v>49</v>
      </c>
      <c r="B5" s="5">
        <v>5.2999999999999998E-8</v>
      </c>
    </row>
    <row r="6" spans="1:4" ht="24" customHeight="1">
      <c r="A6" s="2" t="s">
        <v>50</v>
      </c>
      <c r="B6" s="5">
        <v>4.1999999999999999E-8</v>
      </c>
    </row>
    <row r="7" spans="1:4" ht="24" customHeight="1">
      <c r="A7" s="2" t="s">
        <v>51</v>
      </c>
      <c r="B7" s="5">
        <v>4.6000000000000002E-8</v>
      </c>
    </row>
    <row r="8" spans="1:4" ht="24" customHeight="1">
      <c r="A8" s="2" t="s">
        <v>52</v>
      </c>
      <c r="B8" s="5">
        <v>4.9000000000000002E-8</v>
      </c>
    </row>
    <row r="9" spans="1:4" ht="24" customHeight="1">
      <c r="A9" s="2" t="s">
        <v>53</v>
      </c>
      <c r="B9" s="5">
        <v>4.6999999999999997E-8</v>
      </c>
    </row>
    <row r="10" spans="1:4" ht="24" customHeight="1">
      <c r="A10" s="2" t="s">
        <v>54</v>
      </c>
      <c r="B10" s="5">
        <v>4.6000000000000002E-8</v>
      </c>
    </row>
    <row r="11" spans="1:4" ht="24" customHeight="1">
      <c r="A11" s="2" t="s">
        <v>55</v>
      </c>
      <c r="B11" s="5">
        <v>4.3999999999999997E-8</v>
      </c>
    </row>
    <row r="12" spans="1:4" ht="24" customHeight="1">
      <c r="A12" s="2" t="s">
        <v>56</v>
      </c>
      <c r="B12" s="5">
        <v>4.9000000000000002E-8</v>
      </c>
    </row>
    <row r="13" spans="1:4" ht="24" customHeight="1">
      <c r="A13" s="2" t="s">
        <v>57</v>
      </c>
      <c r="B13" s="5">
        <v>4.9999999999999998E-8</v>
      </c>
    </row>
    <row r="14" spans="1:4" ht="24" customHeight="1">
      <c r="A14" s="2" t="s">
        <v>58</v>
      </c>
      <c r="B14" s="5">
        <v>3.5999999999999998E-8</v>
      </c>
    </row>
    <row r="15" spans="1:4" ht="24" customHeight="1">
      <c r="A15" s="2" t="s">
        <v>25</v>
      </c>
      <c r="B15" s="5">
        <f>AVERAGE(B5:B14)</f>
        <v>4.6199999999999997E-8</v>
      </c>
    </row>
    <row r="16" spans="1:4" ht="24" customHeight="1">
      <c r="A16" s="2" t="s">
        <v>26</v>
      </c>
      <c r="B16" s="5">
        <f>MAX(B5:B14)</f>
        <v>5.2999999999999998E-8</v>
      </c>
    </row>
    <row r="17" spans="1:4" ht="24" customHeight="1">
      <c r="A17" s="2" t="s">
        <v>27</v>
      </c>
      <c r="B17" s="5">
        <f>MIN(B5:B14)</f>
        <v>3.5999999999999998E-8</v>
      </c>
    </row>
    <row r="18" spans="1:4" ht="24" customHeight="1">
      <c r="A18" s="1"/>
      <c r="B18" s="6"/>
    </row>
    <row r="19" spans="1:4" ht="24" customHeight="1">
      <c r="A19" s="1"/>
      <c r="B19" s="6"/>
    </row>
    <row r="20" spans="1:4" ht="24" customHeight="1">
      <c r="A20" s="1"/>
      <c r="B20" s="6"/>
    </row>
    <row r="21" spans="1:4" ht="24" customHeight="1">
      <c r="A21" s="1"/>
      <c r="B21" s="6"/>
    </row>
    <row r="22" spans="1:4" ht="24" customHeight="1">
      <c r="A22" s="1"/>
      <c r="B22" s="6"/>
    </row>
    <row r="23" spans="1:4" ht="24" customHeight="1">
      <c r="A23" s="17" t="s">
        <v>8</v>
      </c>
      <c r="B23" s="19"/>
      <c r="C23" s="18"/>
      <c r="D23" s="18"/>
    </row>
    <row r="24" spans="1:4" ht="24" customHeight="1">
      <c r="A24" s="4" t="s">
        <v>13</v>
      </c>
      <c r="B24" s="7" t="s">
        <v>14</v>
      </c>
    </row>
    <row r="25" spans="1:4" ht="24" customHeight="1">
      <c r="A25" s="2" t="s">
        <v>59</v>
      </c>
      <c r="B25" s="5">
        <v>4.6000000000000002E-8</v>
      </c>
    </row>
    <row r="26" spans="1:4" ht="24" customHeight="1">
      <c r="A26" s="2" t="s">
        <v>60</v>
      </c>
      <c r="B26" s="5">
        <v>5.2000000000000002E-8</v>
      </c>
    </row>
    <row r="27" spans="1:4" ht="24" customHeight="1">
      <c r="A27" s="2" t="s">
        <v>61</v>
      </c>
      <c r="B27" s="5">
        <v>4.1999999999999999E-8</v>
      </c>
    </row>
    <row r="28" spans="1:4" ht="24" customHeight="1">
      <c r="A28" s="2" t="s">
        <v>62</v>
      </c>
      <c r="B28" s="5">
        <v>4.0000000000000001E-8</v>
      </c>
    </row>
    <row r="29" spans="1:4" ht="24" customHeight="1">
      <c r="A29" s="2" t="s">
        <v>63</v>
      </c>
      <c r="B29" s="5">
        <v>5.1E-8</v>
      </c>
    </row>
    <row r="30" spans="1:4" ht="24" customHeight="1">
      <c r="A30" s="2" t="s">
        <v>64</v>
      </c>
      <c r="B30" s="5">
        <v>5.2000000000000002E-8</v>
      </c>
    </row>
    <row r="31" spans="1:4" ht="24" customHeight="1">
      <c r="A31" s="2" t="s">
        <v>65</v>
      </c>
      <c r="B31" s="5">
        <v>3.8000000000000003E-8</v>
      </c>
    </row>
    <row r="32" spans="1:4" ht="24" customHeight="1">
      <c r="A32" s="2" t="s">
        <v>66</v>
      </c>
      <c r="B32" s="5">
        <v>5.2999999999999998E-8</v>
      </c>
    </row>
    <row r="33" spans="1:4" ht="24" customHeight="1">
      <c r="A33" s="2" t="s">
        <v>67</v>
      </c>
      <c r="B33" s="5">
        <v>5.2000000000000002E-8</v>
      </c>
    </row>
    <row r="34" spans="1:4" ht="24" customHeight="1">
      <c r="A34" s="2" t="s">
        <v>68</v>
      </c>
      <c r="B34" s="5">
        <v>4.1000000000000003E-8</v>
      </c>
    </row>
    <row r="35" spans="1:4" ht="24" customHeight="1">
      <c r="A35" s="2" t="s">
        <v>25</v>
      </c>
      <c r="B35" s="5">
        <f>AVERAGE(B25:B34)</f>
        <v>4.6700000000000001E-8</v>
      </c>
    </row>
    <row r="36" spans="1:4" ht="24" customHeight="1">
      <c r="A36" s="2" t="s">
        <v>26</v>
      </c>
      <c r="B36" s="5">
        <f>MAX(B25:B34)</f>
        <v>5.2999999999999998E-8</v>
      </c>
    </row>
    <row r="37" spans="1:4" ht="24" customHeight="1">
      <c r="A37" s="2" t="s">
        <v>27</v>
      </c>
      <c r="B37" s="5">
        <f>MIN(B25:B34)</f>
        <v>3.8000000000000003E-8</v>
      </c>
    </row>
    <row r="38" spans="1:4" ht="24" customHeight="1">
      <c r="A38" s="1"/>
      <c r="B38" s="6"/>
    </row>
    <row r="39" spans="1:4" ht="24" customHeight="1">
      <c r="A39" s="1"/>
      <c r="B39" s="6"/>
    </row>
    <row r="40" spans="1:4" ht="24" customHeight="1">
      <c r="A40" s="1"/>
      <c r="B40" s="6"/>
    </row>
    <row r="41" spans="1:4" ht="24" customHeight="1">
      <c r="A41" s="1"/>
      <c r="B41" s="6"/>
    </row>
    <row r="42" spans="1:4" ht="24" customHeight="1">
      <c r="A42" s="1"/>
      <c r="B42" s="6"/>
    </row>
    <row r="43" spans="1:4" ht="24" customHeight="1">
      <c r="A43" s="17" t="s">
        <v>9</v>
      </c>
      <c r="B43" s="19"/>
      <c r="C43" s="18"/>
      <c r="D43" s="18"/>
    </row>
    <row r="44" spans="1:4" ht="24" customHeight="1">
      <c r="A44" s="4" t="s">
        <v>13</v>
      </c>
      <c r="B44" s="7" t="s">
        <v>14</v>
      </c>
    </row>
    <row r="45" spans="1:4" ht="24" customHeight="1">
      <c r="A45" s="2" t="s">
        <v>69</v>
      </c>
      <c r="B45" s="5">
        <v>3E-9</v>
      </c>
    </row>
    <row r="46" spans="1:4" ht="24" customHeight="1">
      <c r="A46" s="2" t="s">
        <v>70</v>
      </c>
      <c r="B46" s="5">
        <v>2.0000000000000001E-9</v>
      </c>
    </row>
    <row r="47" spans="1:4" ht="24" customHeight="1">
      <c r="A47" s="2" t="s">
        <v>71</v>
      </c>
      <c r="B47" s="5">
        <v>3E-9</v>
      </c>
    </row>
    <row r="48" spans="1:4" ht="24" customHeight="1">
      <c r="A48" s="2" t="s">
        <v>72</v>
      </c>
      <c r="B48" s="5">
        <v>1.0000000000000001E-9</v>
      </c>
    </row>
    <row r="49" spans="1:2" ht="24" customHeight="1">
      <c r="A49" s="2" t="s">
        <v>73</v>
      </c>
      <c r="B49" s="5">
        <v>2.0000000000000001E-9</v>
      </c>
    </row>
    <row r="50" spans="1:2" ht="24" customHeight="1">
      <c r="A50" s="2" t="s">
        <v>74</v>
      </c>
      <c r="B50" s="5">
        <v>2.0000000000000001E-9</v>
      </c>
    </row>
    <row r="51" spans="1:2" ht="24" customHeight="1">
      <c r="A51" s="2" t="s">
        <v>75</v>
      </c>
      <c r="B51" s="5">
        <v>2.0000000000000001E-9</v>
      </c>
    </row>
    <row r="52" spans="1:2" ht="24" customHeight="1">
      <c r="A52" s="2" t="s">
        <v>76</v>
      </c>
      <c r="B52" s="5">
        <v>3E-9</v>
      </c>
    </row>
    <row r="53" spans="1:2" ht="24" customHeight="1">
      <c r="A53" s="2" t="s">
        <v>77</v>
      </c>
      <c r="B53" s="5">
        <v>1.0000000000000001E-9</v>
      </c>
    </row>
    <row r="54" spans="1:2" ht="24" customHeight="1">
      <c r="A54" s="2" t="s">
        <v>78</v>
      </c>
      <c r="B54" s="5">
        <v>4.0000000000000002E-9</v>
      </c>
    </row>
    <row r="55" spans="1:2" ht="24" customHeight="1">
      <c r="A55" s="2" t="s">
        <v>25</v>
      </c>
      <c r="B55" s="5">
        <f>AVERAGE(B45:B54)</f>
        <v>2.2999999999999999E-9</v>
      </c>
    </row>
    <row r="56" spans="1:2" ht="24" customHeight="1">
      <c r="A56" s="2" t="s">
        <v>26</v>
      </c>
      <c r="B56" s="5">
        <f>MAX(B45:B54)</f>
        <v>4.0000000000000002E-9</v>
      </c>
    </row>
    <row r="57" spans="1:2" ht="24" customHeight="1">
      <c r="A57" s="2" t="s">
        <v>27</v>
      </c>
      <c r="B57" s="5">
        <f>MIN(B45:B54)</f>
        <v>1.0000000000000001E-9</v>
      </c>
    </row>
  </sheetData>
  <mergeCells count="3">
    <mergeCell ref="A3:D3"/>
    <mergeCell ref="A23:D23"/>
    <mergeCell ref="A43:D4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7"/>
  <sheetViews>
    <sheetView showGridLines="0" zoomScale="40" zoomScaleNormal="40" workbookViewId="0"/>
  </sheetViews>
  <sheetFormatPr defaultRowHeight="14"/>
  <cols>
    <col min="1" max="1" width="48" customWidth="1"/>
    <col min="2" max="2" width="23" customWidth="1"/>
    <col min="3" max="3" width="4" customWidth="1"/>
    <col min="4" max="14" width="12" customWidth="1"/>
  </cols>
  <sheetData>
    <row r="1" spans="1:4" ht="24" customHeight="1">
      <c r="A1" s="3" t="s">
        <v>84</v>
      </c>
      <c r="B1" s="1"/>
    </row>
    <row r="2" spans="1:4" ht="24" customHeight="1">
      <c r="A2" s="1"/>
      <c r="B2" s="1"/>
    </row>
    <row r="3" spans="1:4" ht="24" customHeight="1">
      <c r="A3" s="17" t="s">
        <v>7</v>
      </c>
      <c r="B3" s="17"/>
      <c r="C3" s="18"/>
      <c r="D3" s="18"/>
    </row>
    <row r="4" spans="1:4" ht="24" customHeight="1">
      <c r="A4" s="4" t="s">
        <v>13</v>
      </c>
      <c r="B4" s="4" t="s">
        <v>80</v>
      </c>
    </row>
    <row r="5" spans="1:4" ht="24" customHeight="1">
      <c r="A5" s="2" t="s">
        <v>49</v>
      </c>
      <c r="B5" s="13">
        <v>43</v>
      </c>
    </row>
    <row r="6" spans="1:4" ht="24" customHeight="1">
      <c r="A6" s="2" t="s">
        <v>50</v>
      </c>
      <c r="B6" s="13">
        <v>43</v>
      </c>
    </row>
    <row r="7" spans="1:4" ht="24" customHeight="1">
      <c r="A7" s="2" t="s">
        <v>51</v>
      </c>
      <c r="B7" s="13">
        <v>35</v>
      </c>
    </row>
    <row r="8" spans="1:4" ht="24" customHeight="1">
      <c r="A8" s="2" t="s">
        <v>52</v>
      </c>
      <c r="B8" s="13">
        <v>39</v>
      </c>
    </row>
    <row r="9" spans="1:4" ht="24" customHeight="1">
      <c r="A9" s="2" t="s">
        <v>53</v>
      </c>
      <c r="B9" s="13">
        <v>39</v>
      </c>
    </row>
    <row r="10" spans="1:4" ht="24" customHeight="1">
      <c r="A10" s="2" t="s">
        <v>54</v>
      </c>
      <c r="B10" s="13">
        <v>43</v>
      </c>
    </row>
    <row r="11" spans="1:4" ht="24" customHeight="1">
      <c r="A11" s="2" t="s">
        <v>55</v>
      </c>
      <c r="B11" s="13">
        <v>38</v>
      </c>
    </row>
    <row r="12" spans="1:4" ht="24" customHeight="1">
      <c r="A12" s="2" t="s">
        <v>56</v>
      </c>
      <c r="B12" s="13">
        <v>40</v>
      </c>
    </row>
    <row r="13" spans="1:4" ht="24" customHeight="1">
      <c r="A13" s="2" t="s">
        <v>57</v>
      </c>
      <c r="B13" s="13">
        <v>41</v>
      </c>
    </row>
    <row r="14" spans="1:4" ht="24" customHeight="1">
      <c r="A14" s="2" t="s">
        <v>58</v>
      </c>
      <c r="B14" s="13">
        <v>40</v>
      </c>
    </row>
    <row r="15" spans="1:4" ht="24" customHeight="1">
      <c r="A15" s="2" t="s">
        <v>81</v>
      </c>
      <c r="B15" s="14">
        <f>AVERAGE(B5:B14)</f>
        <v>40.1</v>
      </c>
    </row>
    <row r="16" spans="1:4" ht="24" customHeight="1">
      <c r="A16" s="2" t="s">
        <v>82</v>
      </c>
      <c r="B16" s="13">
        <f>MAX(B5:B14)</f>
        <v>43</v>
      </c>
    </row>
    <row r="17" spans="1:4" ht="24" customHeight="1">
      <c r="A17" s="2" t="s">
        <v>83</v>
      </c>
      <c r="B17" s="13">
        <f>MIN(B5:B14)</f>
        <v>35</v>
      </c>
    </row>
    <row r="18" spans="1:4" ht="24" customHeight="1">
      <c r="A18" s="1"/>
      <c r="B18" s="6"/>
    </row>
    <row r="19" spans="1:4" ht="24" customHeight="1">
      <c r="A19" s="1"/>
      <c r="B19" s="6"/>
    </row>
    <row r="20" spans="1:4" ht="24" customHeight="1">
      <c r="A20" s="1"/>
      <c r="B20" s="6"/>
    </row>
    <row r="21" spans="1:4" ht="24" customHeight="1">
      <c r="A21" s="1"/>
      <c r="B21" s="6"/>
    </row>
    <row r="22" spans="1:4" ht="24" customHeight="1">
      <c r="A22" s="1"/>
      <c r="B22" s="6"/>
    </row>
    <row r="23" spans="1:4" ht="24" customHeight="1">
      <c r="A23" s="17" t="s">
        <v>8</v>
      </c>
      <c r="B23" s="19"/>
      <c r="C23" s="18"/>
      <c r="D23" s="18"/>
    </row>
    <row r="24" spans="1:4" ht="24" customHeight="1">
      <c r="A24" s="4" t="s">
        <v>13</v>
      </c>
      <c r="B24" s="7" t="s">
        <v>80</v>
      </c>
    </row>
    <row r="25" spans="1:4" ht="24" customHeight="1">
      <c r="A25" s="2" t="s">
        <v>59</v>
      </c>
      <c r="B25" s="13">
        <v>37</v>
      </c>
    </row>
    <row r="26" spans="1:4" ht="24" customHeight="1">
      <c r="A26" s="2" t="s">
        <v>60</v>
      </c>
      <c r="B26" s="13">
        <v>41</v>
      </c>
    </row>
    <row r="27" spans="1:4" ht="24" customHeight="1">
      <c r="A27" s="2" t="s">
        <v>61</v>
      </c>
      <c r="B27" s="13">
        <v>39</v>
      </c>
    </row>
    <row r="28" spans="1:4" ht="24" customHeight="1">
      <c r="A28" s="2" t="s">
        <v>62</v>
      </c>
      <c r="B28" s="13">
        <v>34</v>
      </c>
    </row>
    <row r="29" spans="1:4" ht="24" customHeight="1">
      <c r="A29" s="2" t="s">
        <v>63</v>
      </c>
      <c r="B29" s="13">
        <v>39</v>
      </c>
    </row>
    <row r="30" spans="1:4" ht="24" customHeight="1">
      <c r="A30" s="2" t="s">
        <v>64</v>
      </c>
      <c r="B30" s="13">
        <v>40</v>
      </c>
    </row>
    <row r="31" spans="1:4" ht="24" customHeight="1">
      <c r="A31" s="2" t="s">
        <v>65</v>
      </c>
      <c r="B31" s="13">
        <v>36</v>
      </c>
    </row>
    <row r="32" spans="1:4" ht="24" customHeight="1">
      <c r="A32" s="2" t="s">
        <v>66</v>
      </c>
      <c r="B32" s="13">
        <v>41</v>
      </c>
    </row>
    <row r="33" spans="1:4" ht="24" customHeight="1">
      <c r="A33" s="2" t="s">
        <v>67</v>
      </c>
      <c r="B33" s="13">
        <v>41</v>
      </c>
    </row>
    <row r="34" spans="1:4" ht="24" customHeight="1">
      <c r="A34" s="2" t="s">
        <v>68</v>
      </c>
      <c r="B34" s="13">
        <v>32</v>
      </c>
    </row>
    <row r="35" spans="1:4" ht="24" customHeight="1">
      <c r="A35" s="2" t="s">
        <v>81</v>
      </c>
      <c r="B35" s="14">
        <f>AVERAGE(B25:B34)</f>
        <v>38</v>
      </c>
    </row>
    <row r="36" spans="1:4" ht="24" customHeight="1">
      <c r="A36" s="2" t="s">
        <v>82</v>
      </c>
      <c r="B36" s="13">
        <f>MAX(B25:B34)</f>
        <v>41</v>
      </c>
    </row>
    <row r="37" spans="1:4" ht="24" customHeight="1">
      <c r="A37" s="2" t="s">
        <v>83</v>
      </c>
      <c r="B37" s="13">
        <f>MIN(B25:B34)</f>
        <v>32</v>
      </c>
    </row>
    <row r="38" spans="1:4" ht="24" customHeight="1">
      <c r="A38" s="1"/>
      <c r="B38" s="6"/>
    </row>
    <row r="39" spans="1:4" ht="24" customHeight="1">
      <c r="A39" s="1"/>
      <c r="B39" s="6"/>
    </row>
    <row r="40" spans="1:4" ht="24" customHeight="1">
      <c r="A40" s="1"/>
      <c r="B40" s="6"/>
    </row>
    <row r="41" spans="1:4" ht="24" customHeight="1">
      <c r="A41" s="1"/>
      <c r="B41" s="6"/>
    </row>
    <row r="42" spans="1:4" ht="24" customHeight="1">
      <c r="A42" s="1"/>
      <c r="B42" s="6"/>
    </row>
    <row r="43" spans="1:4" ht="24" customHeight="1">
      <c r="A43" s="17" t="s">
        <v>9</v>
      </c>
      <c r="B43" s="19"/>
      <c r="C43" s="18"/>
      <c r="D43" s="18"/>
    </row>
    <row r="44" spans="1:4" ht="24" customHeight="1">
      <c r="A44" s="4" t="s">
        <v>13</v>
      </c>
      <c r="B44" s="7" t="s">
        <v>80</v>
      </c>
    </row>
    <row r="45" spans="1:4" ht="24" customHeight="1">
      <c r="A45" s="2" t="s">
        <v>69</v>
      </c>
      <c r="B45" s="13">
        <v>4</v>
      </c>
    </row>
    <row r="46" spans="1:4" ht="24" customHeight="1">
      <c r="A46" s="2" t="s">
        <v>70</v>
      </c>
      <c r="B46" s="13">
        <v>4</v>
      </c>
    </row>
    <row r="47" spans="1:4" ht="24" customHeight="1">
      <c r="A47" s="2" t="s">
        <v>71</v>
      </c>
      <c r="B47" s="13">
        <v>3</v>
      </c>
    </row>
    <row r="48" spans="1:4" ht="24" customHeight="1">
      <c r="A48" s="2" t="s">
        <v>72</v>
      </c>
      <c r="B48" s="13">
        <v>2</v>
      </c>
    </row>
    <row r="49" spans="1:2" ht="24" customHeight="1">
      <c r="A49" s="2" t="s">
        <v>73</v>
      </c>
      <c r="B49" s="13">
        <v>1</v>
      </c>
    </row>
    <row r="50" spans="1:2" ht="24" customHeight="1">
      <c r="A50" s="2" t="s">
        <v>74</v>
      </c>
      <c r="B50" s="13">
        <v>3</v>
      </c>
    </row>
    <row r="51" spans="1:2" ht="24" customHeight="1">
      <c r="A51" s="2" t="s">
        <v>75</v>
      </c>
      <c r="B51" s="13">
        <v>2</v>
      </c>
    </row>
    <row r="52" spans="1:2" ht="24" customHeight="1">
      <c r="A52" s="2" t="s">
        <v>76</v>
      </c>
      <c r="B52" s="13">
        <v>2</v>
      </c>
    </row>
    <row r="53" spans="1:2" ht="24" customHeight="1">
      <c r="A53" s="2" t="s">
        <v>77</v>
      </c>
      <c r="B53" s="13">
        <v>3</v>
      </c>
    </row>
    <row r="54" spans="1:2" ht="24" customHeight="1">
      <c r="A54" s="2" t="s">
        <v>78</v>
      </c>
      <c r="B54" s="13">
        <v>5</v>
      </c>
    </row>
    <row r="55" spans="1:2" ht="24" customHeight="1">
      <c r="A55" s="2" t="s">
        <v>81</v>
      </c>
      <c r="B55" s="14">
        <f>AVERAGE(B45:B54)</f>
        <v>2.9</v>
      </c>
    </row>
    <row r="56" spans="1:2" ht="24" customHeight="1">
      <c r="A56" s="2" t="s">
        <v>82</v>
      </c>
      <c r="B56" s="13">
        <f>MAX(B45:B54)</f>
        <v>5</v>
      </c>
    </row>
    <row r="57" spans="1:2" ht="24" customHeight="1">
      <c r="A57" s="2" t="s">
        <v>83</v>
      </c>
      <c r="B57" s="13">
        <f>MIN(B45:B54)</f>
        <v>1</v>
      </c>
    </row>
  </sheetData>
  <mergeCells count="3">
    <mergeCell ref="A3:D3"/>
    <mergeCell ref="A23:D23"/>
    <mergeCell ref="A43:D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Times Comparison</vt:lpstr>
      <vt:lpstr>Step Comparison</vt:lpstr>
      <vt:lpstr>Euclidean times</vt:lpstr>
      <vt:lpstr>Euclidean Steps</vt:lpstr>
      <vt:lpstr>Binary GCD times</vt:lpstr>
      <vt:lpstr>Binary GCD 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 lac</cp:lastModifiedBy>
  <dcterms:modified xsi:type="dcterms:W3CDTF">2026-10-17T16:23:45Z</dcterms:modified>
</cp:coreProperties>
</file>